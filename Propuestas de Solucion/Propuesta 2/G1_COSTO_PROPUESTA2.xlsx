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UNIVERSIDAD\ESPE-5TO\REQUISITOS\U3\TAREA 3\"/>
    </mc:Choice>
  </mc:AlternateContent>
  <xr:revisionPtr revIDLastSave="0" documentId="13_ncr:1_{F3131CCC-DDDD-4814-A444-DD2823D92944}" xr6:coauthVersionLast="47" xr6:coauthVersionMax="47" xr10:uidLastSave="{00000000-0000-0000-0000-000000000000}"/>
  <bookViews>
    <workbookView xWindow="22932" yWindow="-108" windowWidth="23256" windowHeight="13176" tabRatio="866" activeTab="5" xr2:uid="{00000000-000D-0000-FFFF-FFFF00000000}"/>
  </bookViews>
  <sheets>
    <sheet name="Detalles - RH" sheetId="2" r:id="rId1"/>
    <sheet name="Detalles - Equipos" sheetId="3" r:id="rId2"/>
    <sheet name="Detalles - Servicios" sheetId="7" r:id="rId3"/>
    <sheet name="Planificacion_HORAS" sheetId="10" r:id="rId4"/>
    <sheet name="CU (2)" sheetId="8" r:id="rId5"/>
    <sheet name="Proyección" sheetId="5" r:id="rId6"/>
    <sheet name="Estimacion_Propuesta 2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" i="5" l="1"/>
  <c r="B19" i="5" s="1"/>
  <c r="I55" i="12"/>
  <c r="I54" i="12"/>
  <c r="I53" i="12"/>
  <c r="C52" i="12"/>
  <c r="I59" i="12"/>
  <c r="C57" i="12"/>
  <c r="J55" i="12"/>
  <c r="C50" i="12"/>
  <c r="I45" i="12"/>
  <c r="C44" i="12"/>
  <c r="C42" i="12"/>
  <c r="C36" i="12"/>
  <c r="I32" i="12"/>
  <c r="J31" i="12"/>
  <c r="I31" i="12"/>
  <c r="C30" i="12"/>
  <c r="C24" i="12"/>
  <c r="Q22" i="12"/>
  <c r="Q21" i="12"/>
  <c r="I47" i="12" s="1"/>
  <c r="I20" i="12"/>
  <c r="I19" i="12"/>
  <c r="K18" i="12"/>
  <c r="Q17" i="12"/>
  <c r="Q16" i="12"/>
  <c r="J16" i="12"/>
  <c r="I16" i="12"/>
  <c r="J14" i="12"/>
  <c r="I14" i="12"/>
  <c r="Q13" i="12"/>
  <c r="I28" i="12" s="1"/>
  <c r="Q12" i="12"/>
  <c r="C12" i="12"/>
  <c r="Q11" i="12"/>
  <c r="I39" i="12" s="1"/>
  <c r="I11" i="12"/>
  <c r="J10" i="12"/>
  <c r="I10" i="12"/>
  <c r="I9" i="12"/>
  <c r="Q8" i="12"/>
  <c r="J9" i="12" s="1"/>
  <c r="Q7" i="12"/>
  <c r="Q6" i="12"/>
  <c r="J28" i="12" s="1"/>
  <c r="J6" i="12"/>
  <c r="I6" i="12"/>
  <c r="C5" i="12"/>
  <c r="P4" i="12"/>
  <c r="K34" i="12" s="1"/>
  <c r="C3" i="12"/>
  <c r="I31" i="3"/>
  <c r="I30" i="3"/>
  <c r="I29" i="3"/>
  <c r="F31" i="3"/>
  <c r="F30" i="3"/>
  <c r="F29" i="3"/>
  <c r="C31" i="3"/>
  <c r="C30" i="3"/>
  <c r="C29" i="3"/>
  <c r="I8" i="3"/>
  <c r="J8" i="3" s="1"/>
  <c r="O22" i="7"/>
  <c r="G24" i="7"/>
  <c r="G25" i="7"/>
  <c r="G18" i="7"/>
  <c r="G23" i="7"/>
  <c r="G26" i="7"/>
  <c r="G20" i="7"/>
  <c r="G14" i="7"/>
  <c r="B18" i="5" l="1"/>
  <c r="B20" i="5" s="1"/>
  <c r="K54" i="12"/>
  <c r="K13" i="12"/>
  <c r="K31" i="12"/>
  <c r="L31" i="12" s="1"/>
  <c r="J45" i="12"/>
  <c r="K10" i="12"/>
  <c r="L10" i="12" s="1"/>
  <c r="I46" i="12"/>
  <c r="J59" i="12"/>
  <c r="I62" i="12"/>
  <c r="K61" i="12"/>
  <c r="I25" i="12"/>
  <c r="L25" i="12" s="1"/>
  <c r="K47" i="12"/>
  <c r="L47" i="12" s="1"/>
  <c r="J7" i="12"/>
  <c r="I7" i="12"/>
  <c r="J27" i="12"/>
  <c r="I38" i="12"/>
  <c r="I48" i="12"/>
  <c r="J62" i="12"/>
  <c r="J47" i="12"/>
  <c r="K16" i="12"/>
  <c r="L16" i="12" s="1"/>
  <c r="K7" i="12"/>
  <c r="J17" i="12"/>
  <c r="K27" i="12"/>
  <c r="J38" i="12"/>
  <c r="J48" i="12"/>
  <c r="I34" i="12"/>
  <c r="J20" i="12"/>
  <c r="I27" i="12"/>
  <c r="K38" i="12"/>
  <c r="J34" i="12"/>
  <c r="I35" i="12"/>
  <c r="J11" i="12"/>
  <c r="I8" i="12"/>
  <c r="I13" i="12"/>
  <c r="L13" i="12" s="1"/>
  <c r="I18" i="12"/>
  <c r="J61" i="12"/>
  <c r="J8" i="12"/>
  <c r="J13" i="12"/>
  <c r="J18" i="12"/>
  <c r="L18" i="12" s="1"/>
  <c r="C22" i="12"/>
  <c r="J39" i="12"/>
  <c r="J54" i="12"/>
  <c r="L54" i="12"/>
  <c r="C65" i="12"/>
  <c r="K62" i="12"/>
  <c r="J25" i="12"/>
  <c r="K28" i="12"/>
  <c r="L28" i="12" s="1"/>
  <c r="K48" i="12"/>
  <c r="L48" i="12" s="1"/>
  <c r="K32" i="12"/>
  <c r="I60" i="12"/>
  <c r="I29" i="12"/>
  <c r="J60" i="12"/>
  <c r="K6" i="12"/>
  <c r="L6" i="12" s="1"/>
  <c r="K17" i="12"/>
  <c r="J29" i="12"/>
  <c r="K63" i="12"/>
  <c r="I15" i="12"/>
  <c r="K20" i="12"/>
  <c r="L20" i="12" s="1"/>
  <c r="K26" i="12"/>
  <c r="K29" i="12"/>
  <c r="J33" i="12"/>
  <c r="I37" i="12"/>
  <c r="I40" i="12"/>
  <c r="K46" i="12"/>
  <c r="L53" i="12"/>
  <c r="J19" i="12"/>
  <c r="K59" i="12"/>
  <c r="K25" i="12"/>
  <c r="J32" i="12"/>
  <c r="K45" i="12"/>
  <c r="L45" i="12" s="1"/>
  <c r="K8" i="12"/>
  <c r="I17" i="12"/>
  <c r="K35" i="12"/>
  <c r="I63" i="12"/>
  <c r="K11" i="12"/>
  <c r="K14" i="12"/>
  <c r="L14" i="12" s="1"/>
  <c r="I26" i="12"/>
  <c r="K39" i="12"/>
  <c r="J63" i="12"/>
  <c r="J26" i="12"/>
  <c r="I33" i="12"/>
  <c r="J46" i="12"/>
  <c r="K60" i="12"/>
  <c r="J15" i="12"/>
  <c r="K33" i="12"/>
  <c r="J37" i="12"/>
  <c r="J40" i="12"/>
  <c r="J53" i="12"/>
  <c r="I61" i="12"/>
  <c r="L61" i="12" s="1"/>
  <c r="K19" i="12"/>
  <c r="J35" i="12"/>
  <c r="K55" i="12"/>
  <c r="L55" i="12" s="1"/>
  <c r="K9" i="12"/>
  <c r="L9" i="12" s="1"/>
  <c r="K15" i="12"/>
  <c r="K37" i="12"/>
  <c r="K40" i="12"/>
  <c r="K53" i="12"/>
  <c r="L11" i="12" l="1"/>
  <c r="L27" i="12"/>
  <c r="L8" i="12"/>
  <c r="L46" i="12"/>
  <c r="L32" i="12"/>
  <c r="L62" i="12"/>
  <c r="L38" i="12"/>
  <c r="L17" i="12"/>
  <c r="L35" i="12"/>
  <c r="L59" i="12"/>
  <c r="L34" i="12"/>
  <c r="L7" i="12"/>
  <c r="L39" i="12"/>
  <c r="L19" i="12"/>
  <c r="L33" i="12"/>
  <c r="L15" i="12"/>
  <c r="L26" i="12"/>
  <c r="L40" i="12"/>
  <c r="L29" i="12"/>
  <c r="L63" i="12"/>
  <c r="L37" i="12"/>
  <c r="L60" i="12"/>
  <c r="J67" i="12" l="1"/>
  <c r="K16" i="2"/>
  <c r="K15" i="2"/>
  <c r="K11" i="2"/>
  <c r="K10" i="2"/>
  <c r="K7" i="2"/>
  <c r="K6" i="2"/>
  <c r="K5" i="2"/>
  <c r="J46" i="10" l="1"/>
  <c r="J41" i="10" a="1"/>
  <c r="J41" i="10" s="1"/>
  <c r="C41" i="10"/>
  <c r="C56" i="10"/>
  <c r="C65" i="10"/>
  <c r="C61" i="10"/>
  <c r="C46" i="10"/>
  <c r="C35" i="10"/>
  <c r="C28" i="10"/>
  <c r="C22" i="10"/>
  <c r="C12" i="10"/>
  <c r="C5" i="10"/>
  <c r="F6" i="7"/>
  <c r="E17" i="2"/>
  <c r="F24" i="7"/>
  <c r="H24" i="7" s="1"/>
  <c r="F25" i="7"/>
  <c r="H25" i="7" s="1"/>
  <c r="F23" i="7"/>
  <c r="H23" i="7" s="1"/>
  <c r="F18" i="7"/>
  <c r="F19" i="7"/>
  <c r="G19" i="7" s="1"/>
  <c r="H19" i="7" s="1"/>
  <c r="F17" i="7"/>
  <c r="G17" i="7" s="1"/>
  <c r="H17" i="7" s="1"/>
  <c r="F13" i="7"/>
  <c r="G13" i="7" s="1"/>
  <c r="H13" i="7" s="1"/>
  <c r="F12" i="7"/>
  <c r="G12" i="7" s="1"/>
  <c r="F11" i="7"/>
  <c r="G11" i="7" s="1"/>
  <c r="E18" i="2"/>
  <c r="C12" i="2"/>
  <c r="F18" i="2" s="1"/>
  <c r="G18" i="2" s="1"/>
  <c r="C11" i="2"/>
  <c r="F17" i="2" s="1"/>
  <c r="H21" i="3"/>
  <c r="H20" i="3"/>
  <c r="H19" i="3"/>
  <c r="H10" i="3"/>
  <c r="H9" i="3"/>
  <c r="H8" i="3"/>
  <c r="I10" i="3"/>
  <c r="J10" i="3" s="1"/>
  <c r="I9" i="3"/>
  <c r="J9" i="3" s="1"/>
  <c r="I21" i="3"/>
  <c r="J21" i="3" s="1"/>
  <c r="I20" i="3"/>
  <c r="I19" i="3"/>
  <c r="J19" i="3" s="1"/>
  <c r="I22" i="3" l="1"/>
  <c r="J20" i="3"/>
  <c r="I11" i="3"/>
  <c r="F1" i="3" s="1"/>
  <c r="J22" i="3"/>
  <c r="J11" i="3"/>
  <c r="H11" i="7"/>
  <c r="I11" i="7" s="1"/>
  <c r="H12" i="7"/>
  <c r="I12" i="7" s="1"/>
  <c r="H18" i="7"/>
  <c r="C40" i="10"/>
  <c r="C21" i="10"/>
  <c r="C55" i="10"/>
  <c r="C4" i="10"/>
  <c r="E19" i="2"/>
  <c r="F20" i="2"/>
  <c r="G17" i="2"/>
  <c r="G19" i="2" s="1"/>
  <c r="I18" i="7"/>
  <c r="I25" i="7"/>
  <c r="I13" i="7"/>
  <c r="I23" i="7"/>
  <c r="I17" i="7"/>
  <c r="I24" i="7"/>
  <c r="I19" i="7"/>
  <c r="H22" i="3"/>
  <c r="B6" i="5"/>
  <c r="B13" i="5"/>
  <c r="H13" i="5" s="1"/>
  <c r="E13" i="5"/>
  <c r="F13" i="5"/>
  <c r="H11" i="3"/>
  <c r="I20" i="7" l="1"/>
  <c r="I14" i="7"/>
  <c r="O16" i="7" s="1"/>
  <c r="I26" i="7"/>
  <c r="C72" i="10"/>
  <c r="B12" i="5"/>
  <c r="H12" i="5" s="1"/>
  <c r="G13" i="5"/>
  <c r="C13" i="5"/>
  <c r="D13" i="5"/>
  <c r="B7" i="5" l="1"/>
  <c r="B14" i="5"/>
  <c r="H14" i="5" s="1"/>
  <c r="B5" i="5"/>
  <c r="E12" i="5"/>
  <c r="F12" i="5"/>
  <c r="C12" i="5"/>
  <c r="D12" i="5"/>
  <c r="G12" i="5"/>
  <c r="B8" i="5" l="1"/>
  <c r="C5" i="5"/>
  <c r="E14" i="5"/>
  <c r="G14" i="5"/>
  <c r="C14" i="5"/>
  <c r="F14" i="5"/>
  <c r="D14" i="5"/>
  <c r="E5" i="8"/>
  <c r="C7" i="5" l="1"/>
  <c r="C6" i="5"/>
  <c r="E14" i="8"/>
  <c r="E1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8" authorId="0" shapeId="0" xr:uid="{B2138C67-7486-46B1-A45F-6F3FEAB0B7BB}">
      <text>
        <r>
          <rPr>
            <b/>
            <sz val="9"/>
            <color indexed="81"/>
            <rFont val="Tahoma"/>
            <family val="2"/>
          </rPr>
          <t xml:space="preserve">Procesador: </t>
        </r>
        <r>
          <rPr>
            <sz val="9"/>
            <color indexed="81"/>
            <rFont val="Tahoma"/>
            <family val="2"/>
          </rPr>
          <t>Intel Core i7-1255U (12ª generación)</t>
        </r>
        <r>
          <rPr>
            <b/>
            <sz val="9"/>
            <color indexed="81"/>
            <rFont val="Tahoma"/>
            <family val="2"/>
          </rPr>
          <t xml:space="preserve">
Memoria RAM: </t>
        </r>
        <r>
          <rPr>
            <sz val="9"/>
            <color indexed="81"/>
            <rFont val="Tahoma"/>
            <family val="2"/>
          </rPr>
          <t>16 GB</t>
        </r>
        <r>
          <rPr>
            <b/>
            <sz val="9"/>
            <color indexed="81"/>
            <rFont val="Tahoma"/>
            <family val="2"/>
          </rPr>
          <t xml:space="preserve">
Arquitectura:</t>
        </r>
        <r>
          <rPr>
            <sz val="9"/>
            <color indexed="81"/>
            <rFont val="Tahoma"/>
            <family val="2"/>
          </rPr>
          <t xml:space="preserve"> 64 bits (x64)</t>
        </r>
        <r>
          <rPr>
            <b/>
            <sz val="9"/>
            <color indexed="81"/>
            <rFont val="Tahoma"/>
            <family val="2"/>
          </rPr>
          <t xml:space="preserve">
Sistema Operativo: </t>
        </r>
        <r>
          <rPr>
            <sz val="9"/>
            <color indexed="81"/>
            <rFont val="Tahoma"/>
            <family val="2"/>
          </rPr>
          <t>Windows (64 bits)</t>
        </r>
      </text>
    </comment>
    <comment ref="B9" authorId="0" shapeId="0" xr:uid="{271FA566-A6B2-4975-A93A-C36EB16D34BA}">
      <text>
        <r>
          <rPr>
            <b/>
            <sz val="9"/>
            <color indexed="81"/>
            <rFont val="Tahoma"/>
            <family val="2"/>
          </rPr>
          <t>Procesador:</t>
        </r>
        <r>
          <rPr>
            <sz val="9"/>
            <color indexed="81"/>
            <rFont val="Tahoma"/>
            <family val="2"/>
          </rPr>
          <t xml:space="preserve"> AMD Ryzen 7 7435HS (8 núcleos, 16 hilos, hasta 4.7 GHz)</t>
        </r>
        <r>
          <rPr>
            <b/>
            <sz val="9"/>
            <color indexed="81"/>
            <rFont val="Tahoma"/>
            <family val="2"/>
          </rPr>
          <t xml:space="preserve">
Memoria RAM: </t>
        </r>
        <r>
          <rPr>
            <sz val="9"/>
            <color indexed="81"/>
            <rFont val="Tahoma"/>
            <family val="2"/>
          </rPr>
          <t>16 GB DDR5</t>
        </r>
        <r>
          <rPr>
            <b/>
            <sz val="9"/>
            <color indexed="81"/>
            <rFont val="Tahoma"/>
            <family val="2"/>
          </rPr>
          <t xml:space="preserve">
Almacenamiento: </t>
        </r>
        <r>
          <rPr>
            <sz val="9"/>
            <color indexed="81"/>
            <rFont val="Tahoma"/>
            <family val="2"/>
          </rPr>
          <t>1 TB SSD NVMe</t>
        </r>
        <r>
          <rPr>
            <b/>
            <sz val="9"/>
            <color indexed="81"/>
            <rFont val="Tahoma"/>
            <family val="2"/>
          </rPr>
          <t xml:space="preserve">
Tarjeta gráfica: </t>
        </r>
        <r>
          <rPr>
            <sz val="9"/>
            <color indexed="81"/>
            <rFont val="Tahoma"/>
            <family val="2"/>
          </rPr>
          <t>NVIDIA GeForce RTX 4050 (6 GB GDDR6)</t>
        </r>
        <r>
          <rPr>
            <b/>
            <sz val="9"/>
            <color indexed="81"/>
            <rFont val="Tahoma"/>
            <family val="2"/>
          </rPr>
          <t xml:space="preserve">
Pantalla: </t>
        </r>
        <r>
          <rPr>
            <sz val="9"/>
            <color indexed="81"/>
            <rFont val="Tahoma"/>
            <family val="2"/>
          </rPr>
          <t>15.6” Full HD (1920×1080), 144 Hz</t>
        </r>
        <r>
          <rPr>
            <b/>
            <sz val="9"/>
            <color indexed="81"/>
            <rFont val="Tahoma"/>
            <family val="2"/>
          </rPr>
          <t xml:space="preserve">
Conectividad: </t>
        </r>
        <r>
          <rPr>
            <sz val="9"/>
            <color indexed="81"/>
            <rFont val="Tahoma"/>
            <family val="2"/>
          </rPr>
          <t>Wi-Fi 6, Bluetooth, USB-C, USB 3.2, HDMI 2.1</t>
        </r>
        <r>
          <rPr>
            <b/>
            <sz val="9"/>
            <color indexed="81"/>
            <rFont val="Tahoma"/>
            <family val="2"/>
          </rPr>
          <t xml:space="preserve">
Sistema Operativo: </t>
        </r>
        <r>
          <rPr>
            <sz val="9"/>
            <color indexed="81"/>
            <rFont val="Tahoma"/>
            <family val="2"/>
          </rPr>
          <t>Windows 11</t>
        </r>
      </text>
    </comment>
    <comment ref="B10" authorId="0" shapeId="0" xr:uid="{19D49612-CACE-42CB-B8A2-4A8308648655}">
      <text>
        <r>
          <rPr>
            <b/>
            <sz val="9"/>
            <color indexed="81"/>
            <rFont val="Tahoma"/>
            <family val="2"/>
          </rPr>
          <t xml:space="preserve">Procesador: </t>
        </r>
        <r>
          <rPr>
            <sz val="9"/>
            <color indexed="81"/>
            <rFont val="Tahoma"/>
            <family val="2"/>
          </rPr>
          <t xml:space="preserve">Intel Core i5-11400H (11ª generación, hasta 4.5 GHz)
</t>
        </r>
        <r>
          <rPr>
            <b/>
            <sz val="9"/>
            <color indexed="81"/>
            <rFont val="Tahoma"/>
            <family val="2"/>
          </rPr>
          <t>Memoria RAM:</t>
        </r>
        <r>
          <rPr>
            <sz val="9"/>
            <color indexed="81"/>
            <rFont val="Tahoma"/>
            <family val="2"/>
          </rPr>
          <t xml:space="preserve"> 8 GB DDR4
Arquitectura: 64 bits (x64)
</t>
        </r>
        <r>
          <rPr>
            <b/>
            <sz val="9"/>
            <color indexed="81"/>
            <rFont val="Tahoma"/>
            <family val="2"/>
          </rPr>
          <t xml:space="preserve">Sistema Operativo: </t>
        </r>
        <r>
          <rPr>
            <sz val="9"/>
            <color indexed="81"/>
            <rFont val="Tahoma"/>
            <family val="2"/>
          </rPr>
          <t>Windows (64 bits)</t>
        </r>
      </text>
    </comment>
    <comment ref="I18" authorId="0" shapeId="0" xr:uid="{BA4DE07E-1A81-4694-A55B-B993E240BBF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FÓRMULA:
(Valor Inicial / Vida Útil en meses)</t>
        </r>
      </text>
    </comment>
    <comment ref="B19" authorId="0" shapeId="0" xr:uid="{7E40F16E-7141-47DC-B831-C1D497A96E10}">
      <text>
        <r>
          <rPr>
            <b/>
            <sz val="9"/>
            <color indexed="81"/>
            <rFont val="Tahoma"/>
            <family val="2"/>
          </rPr>
          <t xml:space="preserve">Procesador: </t>
        </r>
        <r>
          <rPr>
            <sz val="9"/>
            <color indexed="81"/>
            <rFont val="Tahoma"/>
            <family val="2"/>
          </rPr>
          <t>MediaTek Helio G99 Octa-core (hasta 2.2 GHz)</t>
        </r>
        <r>
          <rPr>
            <b/>
            <sz val="9"/>
            <color indexed="81"/>
            <rFont val="Tahoma"/>
            <family val="2"/>
          </rPr>
          <t xml:space="preserve">
Memoria RAM: </t>
        </r>
        <r>
          <rPr>
            <sz val="9"/>
            <color indexed="81"/>
            <rFont val="Tahoma"/>
            <family val="2"/>
          </rPr>
          <t>8 GB</t>
        </r>
        <r>
          <rPr>
            <b/>
            <sz val="9"/>
            <color indexed="81"/>
            <rFont val="Tahoma"/>
            <family val="2"/>
          </rPr>
          <t xml:space="preserve">
Almacenamiento interno: </t>
        </r>
        <r>
          <rPr>
            <sz val="9"/>
            <color indexed="81"/>
            <rFont val="Tahoma"/>
            <family val="2"/>
          </rPr>
          <t>256 GB (expandible con microSD)</t>
        </r>
        <r>
          <rPr>
            <b/>
            <sz val="9"/>
            <color indexed="81"/>
            <rFont val="Tahoma"/>
            <family val="2"/>
          </rPr>
          <t xml:space="preserve">
Pantalla: </t>
        </r>
        <r>
          <rPr>
            <sz val="9"/>
            <color indexed="81"/>
            <rFont val="Tahoma"/>
            <family val="2"/>
          </rPr>
          <t>6.78″ Full HD+ (1080 × 2460), 120 Hz IPS LCD</t>
        </r>
        <r>
          <rPr>
            <b/>
            <sz val="9"/>
            <color indexed="81"/>
            <rFont val="Tahoma"/>
            <family val="2"/>
          </rPr>
          <t xml:space="preserve">
Sistema operativo: </t>
        </r>
        <r>
          <rPr>
            <sz val="9"/>
            <color indexed="81"/>
            <rFont val="Tahoma"/>
            <family val="2"/>
          </rPr>
          <t>Android 13</t>
        </r>
      </text>
    </comment>
    <comment ref="B20" authorId="0" shapeId="0" xr:uid="{C04155ED-7017-468A-8B89-10271D0C5E54}">
      <text>
        <r>
          <rPr>
            <b/>
            <sz val="9"/>
            <color indexed="81"/>
            <rFont val="Tahoma"/>
            <family val="2"/>
          </rPr>
          <t xml:space="preserve">Procesador: </t>
        </r>
        <r>
          <rPr>
            <sz val="9"/>
            <color indexed="81"/>
            <rFont val="Tahoma"/>
            <family val="2"/>
          </rPr>
          <t>Apple A14 Bionic</t>
        </r>
        <r>
          <rPr>
            <b/>
            <sz val="9"/>
            <color indexed="81"/>
            <rFont val="Tahoma"/>
            <family val="2"/>
          </rPr>
          <t xml:space="preserve">
Memoria RAM:</t>
        </r>
        <r>
          <rPr>
            <sz val="9"/>
            <color indexed="81"/>
            <rFont val="Tahoma"/>
            <family val="2"/>
          </rPr>
          <t xml:space="preserve"> 4 GB</t>
        </r>
        <r>
          <rPr>
            <b/>
            <sz val="9"/>
            <color indexed="81"/>
            <rFont val="Tahoma"/>
            <family val="2"/>
          </rPr>
          <t xml:space="preserve">
Almacenamiento: </t>
        </r>
        <r>
          <rPr>
            <sz val="9"/>
            <color indexed="81"/>
            <rFont val="Tahoma"/>
            <family val="2"/>
          </rPr>
          <t>64–256 GB</t>
        </r>
        <r>
          <rPr>
            <b/>
            <sz val="9"/>
            <color indexed="81"/>
            <rFont val="Tahoma"/>
            <family val="2"/>
          </rPr>
          <t xml:space="preserve">
Pantalla: </t>
        </r>
        <r>
          <rPr>
            <sz val="9"/>
            <color indexed="81"/>
            <rFont val="Tahoma"/>
            <family val="2"/>
          </rPr>
          <t>Super Retina XDR 6.1”</t>
        </r>
        <r>
          <rPr>
            <b/>
            <sz val="9"/>
            <color indexed="81"/>
            <rFont val="Tahoma"/>
            <family val="2"/>
          </rPr>
          <t xml:space="preserve">
Sistema Operativo:</t>
        </r>
        <r>
          <rPr>
            <sz val="9"/>
            <color indexed="81"/>
            <rFont val="Tahoma"/>
            <family val="2"/>
          </rPr>
          <t xml:space="preserve"> iOS</t>
        </r>
      </text>
    </comment>
    <comment ref="B21" authorId="0" shapeId="0" xr:uid="{7246DA17-9E2A-4A4C-B013-5E47DB6B3383}">
      <text>
        <r>
          <rPr>
            <b/>
            <sz val="9"/>
            <color indexed="81"/>
            <rFont val="Tahoma"/>
            <family val="2"/>
          </rPr>
          <t xml:space="preserve">Procesador: </t>
        </r>
        <r>
          <rPr>
            <sz val="9"/>
            <color indexed="81"/>
            <rFont val="Tahoma"/>
            <family val="2"/>
          </rPr>
          <t>Qualcomm Snapdragon 778G</t>
        </r>
        <r>
          <rPr>
            <b/>
            <sz val="9"/>
            <color indexed="81"/>
            <rFont val="Tahoma"/>
            <family val="2"/>
          </rPr>
          <t xml:space="preserve">
Memoria RAM</t>
        </r>
        <r>
          <rPr>
            <sz val="9"/>
            <color indexed="81"/>
            <rFont val="Tahoma"/>
            <family val="2"/>
          </rPr>
          <t>: 6–8 GB</t>
        </r>
        <r>
          <rPr>
            <b/>
            <sz val="9"/>
            <color indexed="81"/>
            <rFont val="Tahoma"/>
            <family val="2"/>
          </rPr>
          <t xml:space="preserve">
Almacenamiento: </t>
        </r>
        <r>
          <rPr>
            <sz val="9"/>
            <color indexed="81"/>
            <rFont val="Tahoma"/>
            <family val="2"/>
          </rPr>
          <t>128–256 GB</t>
        </r>
        <r>
          <rPr>
            <b/>
            <sz val="9"/>
            <color indexed="81"/>
            <rFont val="Tahoma"/>
            <family val="2"/>
          </rPr>
          <t xml:space="preserve">
Pantalla: </t>
        </r>
        <r>
          <rPr>
            <sz val="9"/>
            <color indexed="81"/>
            <rFont val="Tahoma"/>
            <family val="2"/>
          </rPr>
          <t>AMOLED 6.67” Full HD+</t>
        </r>
        <r>
          <rPr>
            <b/>
            <sz val="9"/>
            <color indexed="81"/>
            <rFont val="Tahoma"/>
            <family val="2"/>
          </rPr>
          <t xml:space="preserve">
Sistema Operativo:</t>
        </r>
        <r>
          <rPr>
            <sz val="9"/>
            <color indexed="81"/>
            <rFont val="Tahoma"/>
            <family val="2"/>
          </rPr>
          <t xml:space="preserve"> Android 13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6" authorId="0" shapeId="0" xr:uid="{4C92AD3F-D999-4FDA-A09D-EFA7F671DBDC}">
      <text>
        <r>
          <rPr>
            <b/>
            <sz val="9"/>
            <color indexed="81"/>
            <rFont val="Tahoma"/>
            <charset val="1"/>
          </rPr>
          <t xml:space="preserve">Semana laboral estándar:
</t>
        </r>
        <r>
          <rPr>
            <sz val="9"/>
            <color indexed="81"/>
            <rFont val="Tahoma"/>
            <family val="2"/>
          </rPr>
          <t>40 horas a la semana (8 horas al día * 5 días) *4 semanas</t>
        </r>
      </text>
    </comment>
    <comment ref="G6" authorId="0" shapeId="0" xr:uid="{7463A74C-66CE-4089-818C-A89AD79D2B6C}">
      <text>
        <r>
          <rPr>
            <b/>
            <sz val="9"/>
            <color indexed="81"/>
            <rFont val="Tahoma"/>
            <charset val="1"/>
          </rPr>
          <t>18 semanas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<sst xmlns="http://schemas.openxmlformats.org/spreadsheetml/2006/main" count="731" uniqueCount="239">
  <si>
    <t>Concepto</t>
  </si>
  <si>
    <t>PC 1</t>
  </si>
  <si>
    <t>PC 2</t>
  </si>
  <si>
    <t>PC 3</t>
  </si>
  <si>
    <t>Celular 1</t>
  </si>
  <si>
    <t>Celular 2</t>
  </si>
  <si>
    <t>Celular 3</t>
  </si>
  <si>
    <t>Valor Inicial</t>
  </si>
  <si>
    <t>Depreciación Mensual</t>
  </si>
  <si>
    <t>36</t>
  </si>
  <si>
    <t>CÁLCULO DETALLADO - RECURSO HUMANO</t>
  </si>
  <si>
    <t>COMPUTADORAS</t>
  </si>
  <si>
    <t>Equipo</t>
  </si>
  <si>
    <t>TOTAL DEPRECIACIÓN COMPUTADORAS</t>
  </si>
  <si>
    <t>CELULARES</t>
  </si>
  <si>
    <t>TOTAL DEPRECIACIÓN CELULARES</t>
  </si>
  <si>
    <t>Año de Compra</t>
  </si>
  <si>
    <t>Antigüedad (meses)</t>
  </si>
  <si>
    <t>Vida Útil (meses)</t>
  </si>
  <si>
    <t>Vida Útil (años)</t>
  </si>
  <si>
    <t>3</t>
  </si>
  <si>
    <t>Depreciación Anual</t>
  </si>
  <si>
    <t>Costo Mensual (USD)</t>
  </si>
  <si>
    <t>Costo Mensual</t>
  </si>
  <si>
    <t>Recurso Humano</t>
  </si>
  <si>
    <t>Depreciación Equipos</t>
  </si>
  <si>
    <t>Servicios e Infraestructura</t>
  </si>
  <si>
    <t>Porcentaje del Total</t>
  </si>
  <si>
    <t>PROYECCIÓN DE COSTOS - DIFERENTES PERÍODOS</t>
  </si>
  <si>
    <t>Modelo</t>
  </si>
  <si>
    <t>IPHONE 12</t>
  </si>
  <si>
    <t>TECNO KJ6</t>
  </si>
  <si>
    <t>Acer nitro 5</t>
  </si>
  <si>
    <t xml:space="preserve">ASUS TUF A15 </t>
  </si>
  <si>
    <t>ASUS Vivobook X1504ZA</t>
  </si>
  <si>
    <t>Xiaomi X5 pro</t>
  </si>
  <si>
    <t>Rol</t>
  </si>
  <si>
    <t>Cantidad</t>
  </si>
  <si>
    <t>Salario Mensual (USD)</t>
  </si>
  <si>
    <t>Salario por Hora (USD)</t>
  </si>
  <si>
    <t>Líder de Equipo</t>
  </si>
  <si>
    <t>Ingeniero de Requisitos</t>
  </si>
  <si>
    <t>Composición del Equipo y Salarios</t>
  </si>
  <si>
    <t>Cálculo de Horas y Costos Mensuales</t>
  </si>
  <si>
    <t>Horas/Semana</t>
  </si>
  <si>
    <t>Semanas/Mes</t>
  </si>
  <si>
    <t>Horas Totales/Mes</t>
  </si>
  <si>
    <t>Costo por Hora</t>
  </si>
  <si>
    <t>Costo Total Mensual</t>
  </si>
  <si>
    <t>1 Mes</t>
  </si>
  <si>
    <t>3 Meses</t>
  </si>
  <si>
    <t>6 Meses</t>
  </si>
  <si>
    <t>12 Meses</t>
  </si>
  <si>
    <t>18 Meses</t>
  </si>
  <si>
    <t>24 Meses</t>
  </si>
  <si>
    <t>DEPRECIACIÓN DE EQUIPOS</t>
  </si>
  <si>
    <t>Categoría de Gasto</t>
  </si>
  <si>
    <t>Depreciación de Equipos (Computadoras + Celulares)</t>
  </si>
  <si>
    <t>COSTO TOTAL MENSUAL DEL PROYECTO</t>
  </si>
  <si>
    <t>Fase 1 – Elicitación de Requisitos</t>
  </si>
  <si>
    <t>jue 20/11/25</t>
  </si>
  <si>
    <t>lun 24/11/25</t>
  </si>
  <si>
    <t>dom 23/11/25</t>
  </si>
  <si>
    <t>jue 04/12/25</t>
  </si>
  <si>
    <t>lun 08/12/25</t>
  </si>
  <si>
    <t>mar 09/12/25</t>
  </si>
  <si>
    <t>vie 12/12/25</t>
  </si>
  <si>
    <t>sáb 13/12/25</t>
  </si>
  <si>
    <t>dom 14/12/25</t>
  </si>
  <si>
    <t>vie 05/12/25</t>
  </si>
  <si>
    <t>lun 12/01/26</t>
  </si>
  <si>
    <t>vie 09/01/26</t>
  </si>
  <si>
    <t>mié 14/01/26</t>
  </si>
  <si>
    <t>Costo por caso de uso propuesta 1</t>
  </si>
  <si>
    <t>Costo por caso de uso propuesta 2</t>
  </si>
  <si>
    <t>N° Personas (Casa)</t>
  </si>
  <si>
    <t>Plan Internet</t>
  </si>
  <si>
    <t>Factura luz</t>
  </si>
  <si>
    <t>Cuota Individual Internet</t>
  </si>
  <si>
    <t>Cuota por Hora Internet</t>
  </si>
  <si>
    <t>Cuota mensual Internet</t>
  </si>
  <si>
    <t>Cuota Individual Luz</t>
  </si>
  <si>
    <t>Cuota por Hora Luz</t>
  </si>
  <si>
    <t>Cuota mensual Luz</t>
  </si>
  <si>
    <t>Internet (4.5 Meses)</t>
  </si>
  <si>
    <t>Luz (4.5 Meses)</t>
  </si>
  <si>
    <t>Ing. Req 1</t>
  </si>
  <si>
    <t>Ing. Req 2</t>
  </si>
  <si>
    <t>Alex</t>
  </si>
  <si>
    <t>Steven</t>
  </si>
  <si>
    <t>Leidy</t>
  </si>
  <si>
    <t>Factura Agua</t>
  </si>
  <si>
    <t>Cuota Individual agua</t>
  </si>
  <si>
    <t>Cuota por Hora agua</t>
  </si>
  <si>
    <t>Cuota mensual Agua</t>
  </si>
  <si>
    <t>Horas totales trabajadas en el proyecto</t>
  </si>
  <si>
    <t>Costo_Total/Horas_Totales</t>
  </si>
  <si>
    <t>Costo_Total/Numero_de_CU</t>
  </si>
  <si>
    <t>Nombre de tarea</t>
  </si>
  <si>
    <t>Comienzo</t>
  </si>
  <si>
    <t>Fin</t>
  </si>
  <si>
    <t xml:space="preserve">   TE1 - ENTREVISTA</t>
  </si>
  <si>
    <t xml:space="preserve">      Planeación de tecnica Entrevista</t>
  </si>
  <si>
    <t xml:space="preserve">      Preparación del banco de preguntas</t>
  </si>
  <si>
    <t xml:space="preserve">      Contacto y agendamiento con cliente</t>
  </si>
  <si>
    <t xml:space="preserve">      Aplicación de entrevista</t>
  </si>
  <si>
    <t xml:space="preserve">      Elaboración de minuta</t>
  </si>
  <si>
    <t xml:space="preserve">      Revisión de la minuta</t>
  </si>
  <si>
    <t xml:space="preserve">   TE2 - Historias de usuario</t>
  </si>
  <si>
    <t xml:space="preserve">      Planificación de la técnica Historias de Usuario</t>
  </si>
  <si>
    <t xml:space="preserve">      Contacto y coordinación con la secretaria</t>
  </si>
  <si>
    <t xml:space="preserve">      Definición de secciones y preguntas guía</t>
  </si>
  <si>
    <t xml:space="preserve">      Preparación del formato de Historias de Usuario</t>
  </si>
  <si>
    <t xml:space="preserve">      Aplicación de Historias de Usuario (sesión guiada)</t>
  </si>
  <si>
    <t xml:space="preserve">      Organización de información obtenida</t>
  </si>
  <si>
    <t xml:space="preserve">      Redacción del documento de Historias de Usuario</t>
  </si>
  <si>
    <t>Mano De obra+ Equipos+ Servicios</t>
  </si>
  <si>
    <t>Costo por caso uso</t>
  </si>
  <si>
    <t>Costo por hora</t>
  </si>
  <si>
    <t>Costo Total</t>
  </si>
  <si>
    <t>HORAS TOTALES P1</t>
  </si>
  <si>
    <t>Numero de CU - P1</t>
  </si>
  <si>
    <t>Agua (4.5 meses)</t>
  </si>
  <si>
    <t>Horas</t>
  </si>
  <si>
    <t>horas al mes</t>
  </si>
  <si>
    <t>Meses semestre</t>
  </si>
  <si>
    <t>Predecesoras</t>
  </si>
  <si>
    <t>Nombres de los recursos</t>
  </si>
  <si>
    <t>mar 18/11/25</t>
  </si>
  <si>
    <t>Leidy (Lider)</t>
  </si>
  <si>
    <t>mié 19/11/25</t>
  </si>
  <si>
    <t>G1</t>
  </si>
  <si>
    <t>sáb 22/11/25</t>
  </si>
  <si>
    <t>4,5</t>
  </si>
  <si>
    <t>Leidy (Lider),Alex</t>
  </si>
  <si>
    <t>jue 11/12/25</t>
  </si>
  <si>
    <t>11,13</t>
  </si>
  <si>
    <t xml:space="preserve">      Revisión final de Historias de Usuario</t>
  </si>
  <si>
    <t>Fase 2 – ANÁLISIS</t>
  </si>
  <si>
    <t>lun 05/01/26</t>
  </si>
  <si>
    <t xml:space="preserve">   TA1. Arbol de problemas</t>
  </si>
  <si>
    <t>dom 11/01/26</t>
  </si>
  <si>
    <t xml:space="preserve">      Identificación del problema central</t>
  </si>
  <si>
    <t xml:space="preserve">      Identificación de causas</t>
  </si>
  <si>
    <t>mar 06/01/26</t>
  </si>
  <si>
    <t xml:space="preserve">      Identificación de efectos</t>
  </si>
  <si>
    <t>mié 07/01/26</t>
  </si>
  <si>
    <t xml:space="preserve">      Construcción gráfica del árbol</t>
  </si>
  <si>
    <t>jue 08/01/26</t>
  </si>
  <si>
    <t xml:space="preserve">      Revisión y validación del árbol</t>
  </si>
  <si>
    <t xml:space="preserve">      TA1. Casos de Uso</t>
  </si>
  <si>
    <t xml:space="preserve">         Identificación de actores</t>
  </si>
  <si>
    <t xml:space="preserve">         Identificación de casos de uso</t>
  </si>
  <si>
    <t xml:space="preserve">         Elaboración CU situación actual</t>
  </si>
  <si>
    <t xml:space="preserve">         Modelado CU Propuesta 1</t>
  </si>
  <si>
    <t xml:space="preserve">         Modelado CU Propuesta 2</t>
  </si>
  <si>
    <t>sáb 10/01/26</t>
  </si>
  <si>
    <t xml:space="preserve">         Revisión de diagramas CU</t>
  </si>
  <si>
    <t xml:space="preserve">      TA2. Modelo Conceptual</t>
  </si>
  <si>
    <t xml:space="preserve">         Identificación de entidades</t>
  </si>
  <si>
    <t xml:space="preserve">         Definición de atributos y relaciones</t>
  </si>
  <si>
    <t>mar 13/01/26</t>
  </si>
  <si>
    <t xml:space="preserve">         Construcción del modelo conceptual</t>
  </si>
  <si>
    <t xml:space="preserve">         Revisión y ajustes finales</t>
  </si>
  <si>
    <t>Fase 3.- Especificacion</t>
  </si>
  <si>
    <t>jue 15/01/26</t>
  </si>
  <si>
    <t>dom 18/01/26</t>
  </si>
  <si>
    <t>vie 16/01/26</t>
  </si>
  <si>
    <t xml:space="preserve">      CU-Inicicar sesion</t>
  </si>
  <si>
    <t xml:space="preserve">      CU-Gestionar viajes</t>
  </si>
  <si>
    <t xml:space="preserve">      CU-Gestionar transportistas</t>
  </si>
  <si>
    <t xml:space="preserve">      CU-Monitorear viajes</t>
  </si>
  <si>
    <t>lun 19/01/26</t>
  </si>
  <si>
    <t>sáb 17/01/26</t>
  </si>
  <si>
    <t xml:space="preserve">         Revisión propuesta 1</t>
  </si>
  <si>
    <t xml:space="preserve">         CU-Respaldar informacion</t>
  </si>
  <si>
    <t xml:space="preserve">         CU-Resguardar informacion confidencial</t>
  </si>
  <si>
    <t xml:space="preserve">         Ajuste de costos propuesta 2</t>
  </si>
  <si>
    <t>Fase 4 - Validacion_Verificacion</t>
  </si>
  <si>
    <t>dom 25/01/26</t>
  </si>
  <si>
    <t xml:space="preserve">   Validar Propuesta 1 - G2</t>
  </si>
  <si>
    <t>jue 22/01/26</t>
  </si>
  <si>
    <t xml:space="preserve">      Revisión del documento P1 G2</t>
  </si>
  <si>
    <t xml:space="preserve">      Evaluación de casos de uso</t>
  </si>
  <si>
    <t>mar 20/01/26</t>
  </si>
  <si>
    <t xml:space="preserve">      Elaboración de mockups</t>
  </si>
  <si>
    <t>mié 21/01/26</t>
  </si>
  <si>
    <t xml:space="preserve">      Registro de observaciones</t>
  </si>
  <si>
    <t xml:space="preserve">   Validar Propuesta 2 - G2</t>
  </si>
  <si>
    <t>vie 23/01/26</t>
  </si>
  <si>
    <t xml:space="preserve">      Revisión del documento P2 G2</t>
  </si>
  <si>
    <t>sáb 24/01/26</t>
  </si>
  <si>
    <t xml:space="preserve">      Consolidación de observaciones</t>
  </si>
  <si>
    <t>FASE 5 – ELABORACIÓN DOCUMENTO SRS</t>
  </si>
  <si>
    <t>lun 02/02/26</t>
  </si>
  <si>
    <t>dom 08/02/26</t>
  </si>
  <si>
    <t xml:space="preserve">   Estructuración del SRS</t>
  </si>
  <si>
    <t xml:space="preserve">   Redacción requisitos funcionales</t>
  </si>
  <si>
    <t>mar 03/02/26</t>
  </si>
  <si>
    <t xml:space="preserve">   Redacción requisitos no funcionales</t>
  </si>
  <si>
    <t>jue 05/02/26</t>
  </si>
  <si>
    <t xml:space="preserve">   Integración del documento</t>
  </si>
  <si>
    <t>vie 06/02/26</t>
  </si>
  <si>
    <t xml:space="preserve">   Revisión final y correcciones</t>
  </si>
  <si>
    <t>sáb 07/02/26</t>
  </si>
  <si>
    <t>Duracion Horas</t>
  </si>
  <si>
    <t>Alexander</t>
  </si>
  <si>
    <t>Casos de uso: analizados, modelados y costeados en la propuesta 1</t>
  </si>
  <si>
    <t>HORAS TOTALES P2</t>
  </si>
  <si>
    <t>Integrante</t>
  </si>
  <si>
    <t>Diseñador UX/UI</t>
  </si>
  <si>
    <t>Líder de Proyecto</t>
  </si>
  <si>
    <t>Costo RH</t>
  </si>
  <si>
    <t>Subtotal</t>
  </si>
  <si>
    <t>TOTAL SERVICIOS MENSUAL</t>
  </si>
  <si>
    <t>TOTAL SERVICIOS POR HORA</t>
  </si>
  <si>
    <t>Costo Equipos</t>
  </si>
  <si>
    <t>Costo Servicios</t>
  </si>
  <si>
    <t>Depreciacion por hora</t>
  </si>
  <si>
    <t>Persona 1</t>
  </si>
  <si>
    <t>Persona 2</t>
  </si>
  <si>
    <t>Persona 3</t>
  </si>
  <si>
    <t>Depreciación por persona</t>
  </si>
  <si>
    <t>Depreciación mensual</t>
  </si>
  <si>
    <t>Depreciación semanal</t>
  </si>
  <si>
    <t>Depreciación por hora</t>
  </si>
  <si>
    <t>Depreciación anual</t>
  </si>
  <si>
    <t>TOTAL EQUIPOS POR HORA</t>
  </si>
  <si>
    <t>Leidy Saraguro</t>
  </si>
  <si>
    <t>Alexander Ñacato</t>
  </si>
  <si>
    <t>Steven Egas</t>
  </si>
  <si>
    <t>Líder de Proyecto + Ingeniero de Requisitos</t>
  </si>
  <si>
    <t>Ingeniero de Requisitos + Diseñador UX/UI</t>
  </si>
  <si>
    <t>Total de proyecto por fases</t>
  </si>
  <si>
    <t>COSTOS SERVICIOS</t>
  </si>
  <si>
    <t>Levantamiento de requisitos (20%)</t>
  </si>
  <si>
    <t>Elaboracion del proyecto (80%)</t>
  </si>
  <si>
    <t>Presupuesto para contingencias (10%)</t>
  </si>
  <si>
    <t>TOTAL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</si>
</sst>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scheme val="minor"/>
    </font>
    <font>
      <sz val="10"/>
      <color theme="1"/>
      <name val="Arial"/>
    </font>
    <font>
      <b/>
      <sz val="10"/>
      <color theme="1"/>
      <name val="Arial"/>
      <family val="2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rgb="FF363636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1BBCC"/>
      </left>
      <right/>
      <top style="thin">
        <color rgb="FFB1BBCC"/>
      </top>
      <bottom/>
      <diagonal/>
    </border>
    <border>
      <left/>
      <right/>
      <top style="thin">
        <color rgb="FFB1BBCC"/>
      </top>
      <bottom/>
      <diagonal/>
    </border>
    <border>
      <left/>
      <right style="thin">
        <color rgb="FFB1BBCC"/>
      </right>
      <top style="thin">
        <color rgb="FFB1BBCC"/>
      </top>
      <bottom/>
      <diagonal/>
    </border>
    <border>
      <left style="thin">
        <color rgb="FFB1BBCC"/>
      </left>
      <right/>
      <top/>
      <bottom/>
      <diagonal/>
    </border>
    <border>
      <left/>
      <right style="thin">
        <color rgb="FFB1BBCC"/>
      </right>
      <top/>
      <bottom/>
      <diagonal/>
    </border>
    <border>
      <left style="thin">
        <color rgb="FFB1BBCC"/>
      </left>
      <right/>
      <top/>
      <bottom style="thin">
        <color rgb="FFB1BBCC"/>
      </bottom>
      <diagonal/>
    </border>
    <border>
      <left/>
      <right/>
      <top/>
      <bottom style="thin">
        <color rgb="FFB1BBCC"/>
      </bottom>
      <diagonal/>
    </border>
    <border>
      <left/>
      <right style="thin">
        <color rgb="FFB1BBCC"/>
      </right>
      <top/>
      <bottom style="thin">
        <color rgb="FFB1BBCC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/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</borders>
  <cellStyleXfs count="2">
    <xf numFmtId="0" fontId="0" fillId="0" borderId="0"/>
    <xf numFmtId="44" fontId="16" fillId="0" borderId="0" applyFont="0" applyFill="0" applyBorder="0" applyAlignment="0" applyProtection="0"/>
  </cellStyleXfs>
  <cellXfs count="13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8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8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0" fillId="0" borderId="0" xfId="0" applyNumberFormat="1"/>
    <xf numFmtId="164" fontId="10" fillId="0" borderId="3" xfId="0" applyNumberFormat="1" applyFont="1" applyBorder="1"/>
    <xf numFmtId="164" fontId="0" fillId="0" borderId="0" xfId="0" applyNumberFormat="1"/>
    <xf numFmtId="4" fontId="11" fillId="0" borderId="3" xfId="0" applyNumberFormat="1" applyFont="1" applyBorder="1" applyAlignment="1">
      <alignment horizontal="left" vertical="center" wrapText="1"/>
    </xf>
    <xf numFmtId="4" fontId="0" fillId="0" borderId="0" xfId="0" applyNumberFormat="1" applyAlignment="1">
      <alignment horizontal="center" vertical="center"/>
    </xf>
    <xf numFmtId="0" fontId="0" fillId="0" borderId="1" xfId="0" applyBorder="1"/>
    <xf numFmtId="0" fontId="0" fillId="0" borderId="0" xfId="0" applyBorder="1"/>
    <xf numFmtId="8" fontId="0" fillId="0" borderId="1" xfId="0" applyNumberFormat="1" applyBorder="1"/>
    <xf numFmtId="0" fontId="13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1" fillId="5" borderId="0" xfId="0" applyNumberFormat="1" applyFont="1" applyFill="1" applyAlignment="1">
      <alignment horizontal="center" vertical="center"/>
    </xf>
    <xf numFmtId="164" fontId="10" fillId="0" borderId="8" xfId="0" applyNumberFormat="1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3" fillId="3" borderId="5" xfId="0" applyFont="1" applyFill="1" applyBorder="1" applyAlignment="1">
      <alignment horizontal="left" vertical="center" wrapText="1"/>
    </xf>
    <xf numFmtId="0" fontId="14" fillId="3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4" fillId="3" borderId="5" xfId="0" applyNumberFormat="1" applyFont="1" applyFill="1" applyBorder="1" applyAlignment="1">
      <alignment horizontal="center" vertical="center" wrapText="1"/>
    </xf>
    <xf numFmtId="0" fontId="13" fillId="3" borderId="5" xfId="0" applyNumberFormat="1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left" vertical="center" wrapText="1"/>
    </xf>
    <xf numFmtId="0" fontId="0" fillId="4" borderId="5" xfId="0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left" vertical="center" wrapText="1"/>
    </xf>
    <xf numFmtId="0" fontId="14" fillId="7" borderId="5" xfId="0" applyFont="1" applyFill="1" applyBorder="1" applyAlignment="1">
      <alignment horizontal="left" vertical="center" wrapText="1"/>
    </xf>
    <xf numFmtId="0" fontId="13" fillId="9" borderId="5" xfId="0" applyFont="1" applyFill="1" applyBorder="1" applyAlignment="1">
      <alignment horizontal="left" vertical="center" wrapText="1"/>
    </xf>
    <xf numFmtId="0" fontId="14" fillId="8" borderId="5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4" fontId="10" fillId="0" borderId="0" xfId="0" applyNumberFormat="1" applyFont="1" applyBorder="1" applyAlignment="1">
      <alignment horizontal="left" vertical="center" wrapText="1"/>
    </xf>
    <xf numFmtId="164" fontId="10" fillId="0" borderId="0" xfId="0" applyNumberFormat="1" applyFont="1" applyBorder="1"/>
    <xf numFmtId="164" fontId="0" fillId="0" borderId="17" xfId="0" applyNumberFormat="1" applyBorder="1"/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4" fontId="0" fillId="0" borderId="0" xfId="0" applyNumberFormat="1" applyBorder="1"/>
    <xf numFmtId="4" fontId="0" fillId="0" borderId="18" xfId="0" applyNumberFormat="1" applyBorder="1"/>
    <xf numFmtId="4" fontId="10" fillId="0" borderId="18" xfId="0" applyNumberFormat="1" applyFont="1" applyBorder="1" applyAlignment="1">
      <alignment horizontal="left" vertical="center" wrapText="1"/>
    </xf>
    <xf numFmtId="4" fontId="11" fillId="0" borderId="19" xfId="0" applyNumberFormat="1" applyFont="1" applyBorder="1" applyAlignment="1">
      <alignment horizontal="left" vertical="center" wrapText="1"/>
    </xf>
    <xf numFmtId="164" fontId="10" fillId="0" borderId="4" xfId="0" applyNumberFormat="1" applyFont="1" applyBorder="1"/>
    <xf numFmtId="164" fontId="10" fillId="0" borderId="1" xfId="0" applyNumberFormat="1" applyFont="1" applyBorder="1"/>
    <xf numFmtId="0" fontId="0" fillId="0" borderId="7" xfId="0" applyBorder="1" applyAlignment="1">
      <alignment horizontal="center"/>
    </xf>
    <xf numFmtId="4" fontId="10" fillId="0" borderId="19" xfId="0" applyNumberFormat="1" applyFont="1" applyBorder="1" applyAlignment="1">
      <alignment horizontal="center" vertical="center" wrapText="1"/>
    </xf>
    <xf numFmtId="0" fontId="10" fillId="0" borderId="3" xfId="0" applyNumberFormat="1" applyFont="1" applyBorder="1" applyAlignment="1">
      <alignment horizontal="center"/>
    </xf>
    <xf numFmtId="4" fontId="11" fillId="0" borderId="19" xfId="0" applyNumberFormat="1" applyFont="1" applyBorder="1" applyAlignment="1">
      <alignment horizontal="center" vertical="center" wrapText="1"/>
    </xf>
    <xf numFmtId="4" fontId="11" fillId="0" borderId="3" xfId="0" applyNumberFormat="1" applyFont="1" applyBorder="1" applyAlignment="1">
      <alignment horizontal="center" vertical="center" wrapText="1"/>
    </xf>
    <xf numFmtId="0" fontId="1" fillId="0" borderId="0" xfId="0" applyFont="1"/>
    <xf numFmtId="4" fontId="11" fillId="0" borderId="1" xfId="0" applyNumberFormat="1" applyFont="1" applyBorder="1" applyAlignment="1">
      <alignment horizontal="left" vertical="center" wrapText="1"/>
    </xf>
    <xf numFmtId="4" fontId="11" fillId="0" borderId="8" xfId="0" applyNumberFormat="1" applyFont="1" applyBorder="1" applyAlignment="1">
      <alignment horizontal="left" vertical="center" wrapText="1"/>
    </xf>
    <xf numFmtId="4" fontId="11" fillId="0" borderId="1" xfId="0" applyNumberFormat="1" applyFont="1" applyFill="1" applyBorder="1" applyAlignment="1">
      <alignment horizontal="left" vertical="center" wrapText="1"/>
    </xf>
    <xf numFmtId="164" fontId="10" fillId="0" borderId="20" xfId="0" applyNumberFormat="1" applyFont="1" applyBorder="1"/>
    <xf numFmtId="164" fontId="17" fillId="0" borderId="1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/>
    </xf>
    <xf numFmtId="2" fontId="1" fillId="0" borderId="0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/>
    <xf numFmtId="44" fontId="0" fillId="0" borderId="1" xfId="1" applyFont="1" applyBorder="1" applyAlignment="1">
      <alignment vertical="center" wrapText="1"/>
    </xf>
    <xf numFmtId="2" fontId="0" fillId="0" borderId="1" xfId="0" applyNumberFormat="1" applyBorder="1" applyAlignment="1">
      <alignment horizontal="center" vertical="center" wrapText="1"/>
    </xf>
    <xf numFmtId="0" fontId="13" fillId="4" borderId="24" xfId="0" applyFont="1" applyFill="1" applyBorder="1" applyAlignment="1">
      <alignment horizontal="left" vertical="center" wrapText="1"/>
    </xf>
    <xf numFmtId="0" fontId="13" fillId="4" borderId="24" xfId="0" applyFon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left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3" fillId="3" borderId="1" xfId="0" applyNumberFormat="1" applyFont="1" applyFill="1" applyBorder="1" applyAlignment="1">
      <alignment horizontal="center" vertical="center" wrapText="1"/>
    </xf>
    <xf numFmtId="0" fontId="14" fillId="3" borderId="1" xfId="0" applyNumberFormat="1" applyFont="1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center" vertical="center" wrapText="1"/>
    </xf>
    <xf numFmtId="44" fontId="0" fillId="0" borderId="1" xfId="0" applyNumberFormat="1" applyBorder="1"/>
    <xf numFmtId="0" fontId="0" fillId="0" borderId="0" xfId="0" applyFill="1"/>
    <xf numFmtId="0" fontId="0" fillId="0" borderId="0" xfId="0" applyFill="1" applyBorder="1"/>
    <xf numFmtId="0" fontId="0" fillId="0" borderId="0" xfId="0" applyFill="1" applyBorder="1" applyAlignment="1"/>
    <xf numFmtId="8" fontId="17" fillId="0" borderId="0" xfId="0" applyNumberFormat="1" applyFont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4" fillId="7" borderId="9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center" vertical="center" wrapText="1"/>
    </xf>
    <xf numFmtId="0" fontId="14" fillId="7" borderId="15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selection sqref="A1:B1"/>
    </sheetView>
  </sheetViews>
  <sheetFormatPr baseColWidth="10" defaultColWidth="9.109375" defaultRowHeight="14.4" x14ac:dyDescent="0.3"/>
  <cols>
    <col min="1" max="1" width="31.44140625" style="1" customWidth="1"/>
    <col min="2" max="2" width="20.44140625" style="1" customWidth="1"/>
    <col min="3" max="3" width="19.88671875" style="1" bestFit="1" customWidth="1"/>
    <col min="4" max="4" width="12.44140625" style="1" bestFit="1" customWidth="1"/>
    <col min="5" max="5" width="16.5546875" style="1" bestFit="1" customWidth="1"/>
    <col min="6" max="6" width="17.21875" style="1" customWidth="1"/>
    <col min="7" max="8" width="17.88671875" style="1" bestFit="1" customWidth="1"/>
    <col min="9" max="9" width="15.5546875" style="1" bestFit="1" customWidth="1"/>
    <col min="10" max="10" width="19.5546875" style="1" bestFit="1" customWidth="1"/>
    <col min="11" max="11" width="13.5546875" style="1" bestFit="1" customWidth="1"/>
    <col min="12" max="16384" width="9.109375" style="1"/>
  </cols>
  <sheetData>
    <row r="1" spans="1:11" x14ac:dyDescent="0.3">
      <c r="A1" s="99" t="s">
        <v>10</v>
      </c>
      <c r="B1" s="99"/>
    </row>
    <row r="3" spans="1:11" ht="18" x14ac:dyDescent="0.35">
      <c r="A3" s="102" t="s">
        <v>12</v>
      </c>
      <c r="B3" s="102"/>
    </row>
    <row r="4" spans="1:11" x14ac:dyDescent="0.3">
      <c r="A4" s="3" t="s">
        <v>90</v>
      </c>
      <c r="B4" s="3" t="s">
        <v>40</v>
      </c>
      <c r="I4" s="2" t="s">
        <v>209</v>
      </c>
      <c r="J4" s="2" t="s">
        <v>36</v>
      </c>
      <c r="K4" s="2" t="s">
        <v>47</v>
      </c>
    </row>
    <row r="5" spans="1:11" x14ac:dyDescent="0.3">
      <c r="A5" s="3" t="s">
        <v>206</v>
      </c>
      <c r="B5" s="3" t="s">
        <v>41</v>
      </c>
      <c r="I5" s="103" t="s">
        <v>228</v>
      </c>
      <c r="J5" s="3" t="s">
        <v>211</v>
      </c>
      <c r="K5" s="7">
        <f>+B11/160</f>
        <v>15.625</v>
      </c>
    </row>
    <row r="6" spans="1:11" x14ac:dyDescent="0.3">
      <c r="A6" s="3" t="s">
        <v>89</v>
      </c>
      <c r="B6" s="3" t="s">
        <v>41</v>
      </c>
      <c r="I6" s="104"/>
      <c r="J6" s="3" t="s">
        <v>41</v>
      </c>
      <c r="K6" s="7">
        <f>+B12/160</f>
        <v>12.5</v>
      </c>
    </row>
    <row r="7" spans="1:11" x14ac:dyDescent="0.3">
      <c r="I7" s="105"/>
      <c r="J7" s="3" t="s">
        <v>210</v>
      </c>
      <c r="K7" s="7">
        <f>+B12/160</f>
        <v>12.5</v>
      </c>
    </row>
    <row r="8" spans="1:11" x14ac:dyDescent="0.3">
      <c r="A8" s="100" t="s">
        <v>42</v>
      </c>
      <c r="B8" s="100"/>
      <c r="C8" s="100"/>
    </row>
    <row r="9" spans="1:11" x14ac:dyDescent="0.3">
      <c r="A9" s="100"/>
      <c r="B9" s="100"/>
      <c r="C9" s="100"/>
      <c r="I9" s="2" t="s">
        <v>209</v>
      </c>
      <c r="J9" s="2" t="s">
        <v>36</v>
      </c>
      <c r="K9" s="2" t="s">
        <v>47</v>
      </c>
    </row>
    <row r="10" spans="1:11" x14ac:dyDescent="0.3">
      <c r="A10" s="2" t="s">
        <v>36</v>
      </c>
      <c r="B10" s="2" t="s">
        <v>38</v>
      </c>
      <c r="C10" s="2" t="s">
        <v>39</v>
      </c>
      <c r="I10" s="103" t="s">
        <v>229</v>
      </c>
      <c r="J10" s="3" t="s">
        <v>41</v>
      </c>
      <c r="K10" s="7">
        <f>+B12/160</f>
        <v>12.5</v>
      </c>
    </row>
    <row r="11" spans="1:11" x14ac:dyDescent="0.3">
      <c r="A11" s="3" t="s">
        <v>211</v>
      </c>
      <c r="B11" s="7">
        <v>2500</v>
      </c>
      <c r="C11" s="7">
        <f>+B11/160</f>
        <v>15.625</v>
      </c>
      <c r="I11" s="105"/>
      <c r="J11" s="3" t="s">
        <v>210</v>
      </c>
      <c r="K11" s="7">
        <f>+B12/160</f>
        <v>12.5</v>
      </c>
    </row>
    <row r="12" spans="1:11" x14ac:dyDescent="0.3">
      <c r="A12" s="3" t="s">
        <v>41</v>
      </c>
      <c r="B12" s="7">
        <v>2000</v>
      </c>
      <c r="C12" s="7">
        <f>+B12/160</f>
        <v>12.5</v>
      </c>
    </row>
    <row r="14" spans="1:11" x14ac:dyDescent="0.3">
      <c r="A14" s="100" t="s">
        <v>43</v>
      </c>
      <c r="B14" s="100"/>
      <c r="C14" s="100"/>
      <c r="D14" s="100"/>
      <c r="E14" s="100"/>
      <c r="F14" s="100"/>
      <c r="G14" s="100"/>
      <c r="I14" s="2" t="s">
        <v>209</v>
      </c>
      <c r="J14" s="2" t="s">
        <v>36</v>
      </c>
      <c r="K14" s="2" t="s">
        <v>47</v>
      </c>
    </row>
    <row r="15" spans="1:11" x14ac:dyDescent="0.3">
      <c r="A15" s="100"/>
      <c r="B15" s="100"/>
      <c r="C15" s="100"/>
      <c r="D15" s="100"/>
      <c r="E15" s="100"/>
      <c r="F15" s="100"/>
      <c r="G15" s="100"/>
      <c r="I15" s="103" t="s">
        <v>230</v>
      </c>
      <c r="J15" s="3" t="s">
        <v>41</v>
      </c>
      <c r="K15" s="7">
        <f>+B12/160</f>
        <v>12.5</v>
      </c>
    </row>
    <row r="16" spans="1:11" x14ac:dyDescent="0.3">
      <c r="A16" s="2" t="s">
        <v>36</v>
      </c>
      <c r="B16" s="2" t="s">
        <v>37</v>
      </c>
      <c r="C16" s="2" t="s">
        <v>44</v>
      </c>
      <c r="D16" s="2" t="s">
        <v>45</v>
      </c>
      <c r="E16" s="2" t="s">
        <v>46</v>
      </c>
      <c r="F16" s="2" t="s">
        <v>47</v>
      </c>
      <c r="G16" s="2" t="s">
        <v>48</v>
      </c>
      <c r="I16" s="105"/>
      <c r="J16" s="3" t="s">
        <v>210</v>
      </c>
      <c r="K16" s="7">
        <f>+B12/160</f>
        <v>12.5</v>
      </c>
    </row>
    <row r="17" spans="1:7" x14ac:dyDescent="0.3">
      <c r="A17" s="3" t="s">
        <v>40</v>
      </c>
      <c r="B17" s="3">
        <v>1</v>
      </c>
      <c r="C17" s="3">
        <v>9</v>
      </c>
      <c r="D17" s="3">
        <v>4</v>
      </c>
      <c r="E17" s="3">
        <f>+B17*C17*D17</f>
        <v>36</v>
      </c>
      <c r="F17" s="7">
        <f>+C11</f>
        <v>15.625</v>
      </c>
      <c r="G17" s="7">
        <f>+E17*F17</f>
        <v>562.5</v>
      </c>
    </row>
    <row r="18" spans="1:7" x14ac:dyDescent="0.3">
      <c r="A18" s="3" t="s">
        <v>41</v>
      </c>
      <c r="B18" s="3">
        <v>2</v>
      </c>
      <c r="C18" s="3">
        <v>9</v>
      </c>
      <c r="D18" s="3">
        <v>4</v>
      </c>
      <c r="E18" s="3">
        <f>+B18*C18*D18</f>
        <v>72</v>
      </c>
      <c r="F18" s="7">
        <f>+C12</f>
        <v>12.5</v>
      </c>
      <c r="G18" s="7">
        <f>+E18*F18</f>
        <v>900</v>
      </c>
    </row>
    <row r="19" spans="1:7" x14ac:dyDescent="0.3">
      <c r="E19" s="1">
        <f>+SUM(E17:E18)</f>
        <v>108</v>
      </c>
      <c r="G19" s="101">
        <f>+SUM(G17:G18)</f>
        <v>1462.5</v>
      </c>
    </row>
    <row r="20" spans="1:7" x14ac:dyDescent="0.3">
      <c r="F20" s="4">
        <f>+SUM(F17:F18)</f>
        <v>28.125</v>
      </c>
      <c r="G20" s="101"/>
    </row>
  </sheetData>
  <mergeCells count="8">
    <mergeCell ref="I5:I7"/>
    <mergeCell ref="I10:I11"/>
    <mergeCell ref="I15:I16"/>
    <mergeCell ref="A1:B1"/>
    <mergeCell ref="A8:C9"/>
    <mergeCell ref="A14:G15"/>
    <mergeCell ref="G19:G20"/>
    <mergeCell ref="A3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zoomScaleNormal="100" workbookViewId="0">
      <selection activeCell="G31" sqref="G31"/>
    </sheetView>
  </sheetViews>
  <sheetFormatPr baseColWidth="10" defaultColWidth="9.109375" defaultRowHeight="14.4" x14ac:dyDescent="0.3"/>
  <cols>
    <col min="1" max="1" width="10.88671875" style="71" customWidth="1"/>
    <col min="2" max="2" width="22.21875" style="71" bestFit="1" customWidth="1"/>
    <col min="3" max="3" width="11.21875" style="71" bestFit="1" customWidth="1"/>
    <col min="4" max="4" width="14.33203125" style="71" bestFit="1" customWidth="1"/>
    <col min="5" max="5" width="20.6640625" style="71" customWidth="1"/>
    <col min="6" max="6" width="18.6640625" style="71" customWidth="1"/>
    <col min="7" max="7" width="20.6640625" style="71" customWidth="1"/>
    <col min="8" max="9" width="22.6640625" style="71" customWidth="1"/>
    <col min="10" max="10" width="19.109375" style="71" bestFit="1" customWidth="1"/>
    <col min="11" max="16384" width="9.109375" style="71"/>
  </cols>
  <sheetData>
    <row r="1" spans="1:10" x14ac:dyDescent="0.3">
      <c r="B1" s="109" t="s">
        <v>55</v>
      </c>
      <c r="C1" s="109"/>
      <c r="D1" s="109"/>
      <c r="E1" s="109"/>
      <c r="F1" s="110">
        <f>+I11+I22</f>
        <v>100.48611111111111</v>
      </c>
    </row>
    <row r="2" spans="1:10" x14ac:dyDescent="0.3">
      <c r="B2" s="109"/>
      <c r="C2" s="109"/>
      <c r="D2" s="109"/>
      <c r="E2" s="109"/>
      <c r="F2" s="110"/>
    </row>
    <row r="3" spans="1:10" x14ac:dyDescent="0.3">
      <c r="B3" s="72"/>
      <c r="C3" s="72"/>
      <c r="D3" s="72"/>
      <c r="E3" s="72"/>
      <c r="F3" s="72"/>
    </row>
    <row r="4" spans="1:10" x14ac:dyDescent="0.3">
      <c r="B4" s="72"/>
      <c r="C4" s="72"/>
      <c r="D4" s="72"/>
      <c r="E4" s="72"/>
      <c r="F4" s="72"/>
    </row>
    <row r="5" spans="1:10" x14ac:dyDescent="0.3">
      <c r="A5" s="111" t="s">
        <v>11</v>
      </c>
      <c r="B5" s="111"/>
      <c r="C5" s="111"/>
      <c r="D5" s="111"/>
      <c r="E5" s="111"/>
      <c r="F5" s="111"/>
      <c r="G5" s="111"/>
      <c r="H5" s="111"/>
      <c r="I5" s="111"/>
    </row>
    <row r="6" spans="1:10" x14ac:dyDescent="0.3">
      <c r="A6" s="111"/>
      <c r="B6" s="111"/>
      <c r="C6" s="111"/>
      <c r="D6" s="111"/>
      <c r="E6" s="111"/>
      <c r="F6" s="111"/>
      <c r="G6" s="111"/>
      <c r="H6" s="111"/>
      <c r="I6" s="111"/>
    </row>
    <row r="7" spans="1:10" x14ac:dyDescent="0.3">
      <c r="A7" s="73" t="s">
        <v>12</v>
      </c>
      <c r="B7" s="73" t="s">
        <v>29</v>
      </c>
      <c r="C7" s="73" t="s">
        <v>7</v>
      </c>
      <c r="D7" s="73" t="s">
        <v>16</v>
      </c>
      <c r="E7" s="73" t="s">
        <v>17</v>
      </c>
      <c r="F7" s="73" t="s">
        <v>19</v>
      </c>
      <c r="G7" s="73" t="s">
        <v>18</v>
      </c>
      <c r="H7" s="73" t="s">
        <v>21</v>
      </c>
      <c r="I7" s="73" t="s">
        <v>8</v>
      </c>
      <c r="J7" s="73" t="s">
        <v>218</v>
      </c>
    </row>
    <row r="8" spans="1:10" x14ac:dyDescent="0.3">
      <c r="A8" s="74" t="s">
        <v>1</v>
      </c>
      <c r="B8" s="74" t="s">
        <v>34</v>
      </c>
      <c r="C8" s="74">
        <v>600</v>
      </c>
      <c r="D8" s="74">
        <v>2024</v>
      </c>
      <c r="E8" s="74">
        <v>12</v>
      </c>
      <c r="F8" s="74" t="s">
        <v>20</v>
      </c>
      <c r="G8" s="74" t="s">
        <v>9</v>
      </c>
      <c r="H8" s="74">
        <f>+C8/F8</f>
        <v>200</v>
      </c>
      <c r="I8" s="74">
        <f>+C8/G8</f>
        <v>16.666666666666668</v>
      </c>
      <c r="J8" s="74">
        <f>+I8/160</f>
        <v>0.10416666666666667</v>
      </c>
    </row>
    <row r="9" spans="1:10" x14ac:dyDescent="0.3">
      <c r="A9" s="74" t="s">
        <v>2</v>
      </c>
      <c r="B9" s="74" t="s">
        <v>33</v>
      </c>
      <c r="C9" s="74">
        <v>1200</v>
      </c>
      <c r="D9" s="74">
        <v>2023</v>
      </c>
      <c r="E9" s="74">
        <v>24</v>
      </c>
      <c r="F9" s="74" t="s">
        <v>20</v>
      </c>
      <c r="G9" s="74" t="s">
        <v>9</v>
      </c>
      <c r="H9" s="74">
        <f>+C9/F9</f>
        <v>400</v>
      </c>
      <c r="I9" s="74">
        <f>+C9/G9</f>
        <v>33.333333333333336</v>
      </c>
      <c r="J9" s="74">
        <f t="shared" ref="J9:J10" si="0">+I9/160</f>
        <v>0.20833333333333334</v>
      </c>
    </row>
    <row r="10" spans="1:10" x14ac:dyDescent="0.3">
      <c r="A10" s="74" t="s">
        <v>3</v>
      </c>
      <c r="B10" s="74" t="s">
        <v>32</v>
      </c>
      <c r="C10" s="74">
        <v>700</v>
      </c>
      <c r="D10" s="74">
        <v>2022</v>
      </c>
      <c r="E10" s="74">
        <v>48</v>
      </c>
      <c r="F10" s="74" t="s">
        <v>20</v>
      </c>
      <c r="G10" s="74" t="s">
        <v>9</v>
      </c>
      <c r="H10" s="74">
        <f>+C10/F10</f>
        <v>233.33333333333334</v>
      </c>
      <c r="I10" s="74">
        <f>+C10/G10</f>
        <v>19.444444444444443</v>
      </c>
      <c r="J10" s="74">
        <f t="shared" si="0"/>
        <v>0.12152777777777776</v>
      </c>
    </row>
    <row r="11" spans="1:10" x14ac:dyDescent="0.3">
      <c r="H11" s="108">
        <f>+SUM(H8:H10)</f>
        <v>833.33333333333337</v>
      </c>
      <c r="I11" s="108">
        <f>+SUM(I8:I10)</f>
        <v>69.444444444444443</v>
      </c>
      <c r="J11" s="107">
        <f>+SUM(J8:J10)</f>
        <v>0.43402777777777779</v>
      </c>
    </row>
    <row r="12" spans="1:10" x14ac:dyDescent="0.3">
      <c r="F12" s="71" t="s">
        <v>13</v>
      </c>
      <c r="H12" s="107"/>
      <c r="I12" s="107"/>
      <c r="J12" s="107"/>
    </row>
    <row r="16" spans="1:10" x14ac:dyDescent="0.3">
      <c r="A16" s="111" t="s">
        <v>14</v>
      </c>
      <c r="B16" s="111"/>
      <c r="C16" s="111"/>
      <c r="D16" s="111"/>
      <c r="E16" s="111"/>
      <c r="F16" s="111"/>
      <c r="G16" s="111"/>
      <c r="H16" s="111"/>
      <c r="I16" s="111"/>
    </row>
    <row r="17" spans="1:10" x14ac:dyDescent="0.3">
      <c r="A17" s="111"/>
      <c r="B17" s="111"/>
      <c r="C17" s="111"/>
      <c r="D17" s="111"/>
      <c r="E17" s="111"/>
      <c r="F17" s="111"/>
      <c r="G17" s="111"/>
      <c r="H17" s="111"/>
      <c r="I17" s="111"/>
    </row>
    <row r="18" spans="1:10" x14ac:dyDescent="0.3">
      <c r="A18" s="73" t="s">
        <v>12</v>
      </c>
      <c r="B18" s="73" t="s">
        <v>29</v>
      </c>
      <c r="C18" s="73" t="s">
        <v>7</v>
      </c>
      <c r="D18" s="73" t="s">
        <v>16</v>
      </c>
      <c r="E18" s="73" t="s">
        <v>17</v>
      </c>
      <c r="F18" s="73" t="s">
        <v>19</v>
      </c>
      <c r="G18" s="73" t="s">
        <v>18</v>
      </c>
      <c r="H18" s="73" t="s">
        <v>21</v>
      </c>
      <c r="I18" s="73" t="s">
        <v>8</v>
      </c>
      <c r="J18" s="73" t="s">
        <v>218</v>
      </c>
    </row>
    <row r="19" spans="1:10" x14ac:dyDescent="0.3">
      <c r="A19" s="74" t="s">
        <v>4</v>
      </c>
      <c r="B19" s="74" t="s">
        <v>31</v>
      </c>
      <c r="C19" s="74">
        <v>200</v>
      </c>
      <c r="D19" s="74">
        <v>2023</v>
      </c>
      <c r="E19" s="74">
        <v>24</v>
      </c>
      <c r="F19" s="74">
        <v>2</v>
      </c>
      <c r="G19" s="74">
        <v>24</v>
      </c>
      <c r="H19" s="74">
        <f>+C19/F19</f>
        <v>100</v>
      </c>
      <c r="I19" s="74">
        <f>+C19/G19</f>
        <v>8.3333333333333339</v>
      </c>
      <c r="J19" s="74">
        <f>+I19/160</f>
        <v>5.2083333333333336E-2</v>
      </c>
    </row>
    <row r="20" spans="1:10" x14ac:dyDescent="0.3">
      <c r="A20" s="74" t="s">
        <v>5</v>
      </c>
      <c r="B20" s="74" t="s">
        <v>30</v>
      </c>
      <c r="C20" s="74">
        <v>275</v>
      </c>
      <c r="D20" s="74">
        <v>2022</v>
      </c>
      <c r="E20" s="74">
        <v>48</v>
      </c>
      <c r="F20" s="74">
        <v>2</v>
      </c>
      <c r="G20" s="74">
        <v>24</v>
      </c>
      <c r="H20" s="74">
        <f>+C20/F20</f>
        <v>137.5</v>
      </c>
      <c r="I20" s="74">
        <f>+C20/G20</f>
        <v>11.458333333333334</v>
      </c>
      <c r="J20" s="74">
        <f t="shared" ref="J20:J21" si="1">+I20/160</f>
        <v>7.1614583333333343E-2</v>
      </c>
    </row>
    <row r="21" spans="1:10" x14ac:dyDescent="0.3">
      <c r="A21" s="74" t="s">
        <v>6</v>
      </c>
      <c r="B21" s="74" t="s">
        <v>35</v>
      </c>
      <c r="C21" s="74">
        <v>270</v>
      </c>
      <c r="D21" s="74">
        <v>2023</v>
      </c>
      <c r="E21" s="74">
        <v>12</v>
      </c>
      <c r="F21" s="74">
        <v>2</v>
      </c>
      <c r="G21" s="74">
        <v>24</v>
      </c>
      <c r="H21" s="74">
        <f>+C21/F21</f>
        <v>135</v>
      </c>
      <c r="I21" s="74">
        <f>+C21/G21</f>
        <v>11.25</v>
      </c>
      <c r="J21" s="74">
        <f t="shared" si="1"/>
        <v>7.03125E-2</v>
      </c>
    </row>
    <row r="22" spans="1:10" x14ac:dyDescent="0.3">
      <c r="H22" s="108">
        <f>+SUM(H19:H21)</f>
        <v>372.5</v>
      </c>
      <c r="I22" s="108">
        <f>+SUM(I19:I21)</f>
        <v>31.041666666666668</v>
      </c>
      <c r="J22" s="107">
        <f>+SUM(J19:J21)</f>
        <v>0.19401041666666669</v>
      </c>
    </row>
    <row r="23" spans="1:10" x14ac:dyDescent="0.3">
      <c r="F23" s="71" t="s">
        <v>15</v>
      </c>
      <c r="H23" s="107"/>
      <c r="I23" s="107"/>
      <c r="J23" s="107"/>
    </row>
    <row r="27" spans="1:10" x14ac:dyDescent="0.3">
      <c r="B27" s="106" t="s">
        <v>219</v>
      </c>
      <c r="C27" s="106"/>
      <c r="E27" s="106" t="s">
        <v>220</v>
      </c>
      <c r="F27" s="106"/>
      <c r="H27" s="106" t="s">
        <v>221</v>
      </c>
      <c r="I27" s="106"/>
    </row>
    <row r="28" spans="1:10" x14ac:dyDescent="0.3">
      <c r="B28" s="106" t="s">
        <v>222</v>
      </c>
      <c r="C28" s="106"/>
      <c r="E28" s="106" t="s">
        <v>222</v>
      </c>
      <c r="F28" s="106"/>
      <c r="H28" s="106" t="s">
        <v>222</v>
      </c>
      <c r="I28" s="106"/>
    </row>
    <row r="29" spans="1:10" x14ac:dyDescent="0.3">
      <c r="B29" s="74" t="s">
        <v>226</v>
      </c>
      <c r="C29" s="74">
        <f>+H8+H19</f>
        <v>300</v>
      </c>
      <c r="E29" s="74" t="s">
        <v>226</v>
      </c>
      <c r="F29" s="74">
        <f>+H9+H20</f>
        <v>537.5</v>
      </c>
      <c r="H29" s="74" t="s">
        <v>226</v>
      </c>
      <c r="I29" s="74">
        <f>+H10+H21</f>
        <v>368.33333333333337</v>
      </c>
    </row>
    <row r="30" spans="1:10" x14ac:dyDescent="0.3">
      <c r="B30" s="74" t="s">
        <v>223</v>
      </c>
      <c r="C30" s="74">
        <f>+I8+I19</f>
        <v>25</v>
      </c>
      <c r="E30" s="74" t="s">
        <v>224</v>
      </c>
      <c r="F30" s="74">
        <f>+I9+I20</f>
        <v>44.791666666666671</v>
      </c>
      <c r="H30" s="74" t="s">
        <v>224</v>
      </c>
      <c r="I30" s="74">
        <f>+I10+I21</f>
        <v>30.694444444444443</v>
      </c>
    </row>
    <row r="31" spans="1:10" x14ac:dyDescent="0.3">
      <c r="B31" s="74" t="s">
        <v>225</v>
      </c>
      <c r="C31" s="74">
        <f>+J8+J19</f>
        <v>0.15625</v>
      </c>
      <c r="E31" s="74" t="s">
        <v>225</v>
      </c>
      <c r="F31" s="74">
        <f>+J9+J20</f>
        <v>0.27994791666666669</v>
      </c>
      <c r="H31" s="74" t="s">
        <v>225</v>
      </c>
      <c r="I31" s="74">
        <f>+J10+J21</f>
        <v>0.19184027777777776</v>
      </c>
    </row>
  </sheetData>
  <mergeCells count="16">
    <mergeCell ref="B1:E2"/>
    <mergeCell ref="F1:F2"/>
    <mergeCell ref="A5:I6"/>
    <mergeCell ref="A16:I17"/>
    <mergeCell ref="J11:J12"/>
    <mergeCell ref="J22:J23"/>
    <mergeCell ref="I22:I23"/>
    <mergeCell ref="H22:H23"/>
    <mergeCell ref="H11:H12"/>
    <mergeCell ref="I11:I12"/>
    <mergeCell ref="B28:C28"/>
    <mergeCell ref="E28:F28"/>
    <mergeCell ref="H28:I28"/>
    <mergeCell ref="B27:C27"/>
    <mergeCell ref="E27:F27"/>
    <mergeCell ref="H27:I27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A83C-331F-4EE2-BD42-E63536E81234}">
  <dimension ref="A1:Q26"/>
  <sheetViews>
    <sheetView zoomScale="97" zoomScaleNormal="55" workbookViewId="0">
      <selection activeCell="G2" sqref="G2"/>
    </sheetView>
  </sheetViews>
  <sheetFormatPr baseColWidth="10" defaultRowHeight="14.4" x14ac:dyDescent="0.3"/>
  <cols>
    <col min="2" max="2" width="15.6640625" bestFit="1" customWidth="1"/>
    <col min="7" max="7" width="14.5546875" bestFit="1" customWidth="1"/>
    <col min="8" max="8" width="13.21875" bestFit="1" customWidth="1"/>
    <col min="9" max="9" width="14.44140625" bestFit="1" customWidth="1"/>
    <col min="16" max="16" width="14.5546875" customWidth="1"/>
  </cols>
  <sheetData>
    <row r="1" spans="1:17" x14ac:dyDescent="0.3">
      <c r="A1" s="114" t="s">
        <v>234</v>
      </c>
      <c r="B1" s="114"/>
      <c r="C1" s="114"/>
      <c r="D1" s="114"/>
      <c r="E1" s="114"/>
      <c r="G1" s="5"/>
      <c r="H1" s="5"/>
      <c r="I1" s="5"/>
      <c r="J1" s="5"/>
      <c r="K1" s="5"/>
      <c r="L1" s="5"/>
      <c r="M1" s="5"/>
      <c r="N1" s="5"/>
      <c r="O1" s="5"/>
    </row>
    <row r="2" spans="1:17" x14ac:dyDescent="0.3">
      <c r="A2" s="114"/>
      <c r="B2" s="114"/>
      <c r="C2" s="114"/>
      <c r="D2" s="114"/>
      <c r="E2" s="114"/>
      <c r="G2" s="5"/>
      <c r="H2" s="5"/>
      <c r="I2" s="5"/>
      <c r="J2" s="5"/>
      <c r="K2" s="5"/>
      <c r="L2" s="5"/>
      <c r="M2" s="5"/>
      <c r="N2" s="5"/>
      <c r="O2" s="5"/>
    </row>
    <row r="3" spans="1:17" x14ac:dyDescent="0.3">
      <c r="G3" s="5"/>
      <c r="J3" s="5"/>
      <c r="K3" s="5"/>
      <c r="L3" s="5"/>
      <c r="M3" s="5"/>
      <c r="N3" s="5"/>
      <c r="O3" s="5"/>
    </row>
    <row r="4" spans="1:17" x14ac:dyDescent="0.3">
      <c r="B4" s="13"/>
      <c r="C4" s="13"/>
      <c r="D4" s="13"/>
      <c r="E4" s="13"/>
      <c r="F4" s="13"/>
      <c r="G4" s="17"/>
      <c r="J4" s="17"/>
      <c r="K4" s="17"/>
      <c r="L4" s="17"/>
      <c r="M4" s="17"/>
      <c r="N4" s="17"/>
      <c r="O4" s="17"/>
      <c r="Q4" s="13"/>
    </row>
    <row r="5" spans="1:17" ht="43.2" x14ac:dyDescent="0.3">
      <c r="A5" s="28" t="s">
        <v>209</v>
      </c>
      <c r="B5" s="62" t="s">
        <v>36</v>
      </c>
      <c r="C5" s="63" t="s">
        <v>75</v>
      </c>
      <c r="D5" s="64"/>
      <c r="E5" s="28" t="s">
        <v>123</v>
      </c>
      <c r="F5" s="28" t="s">
        <v>124</v>
      </c>
      <c r="G5" s="28" t="s">
        <v>125</v>
      </c>
      <c r="H5" s="8" t="s">
        <v>95</v>
      </c>
    </row>
    <row r="6" spans="1:17" x14ac:dyDescent="0.3">
      <c r="A6" s="3" t="s">
        <v>90</v>
      </c>
      <c r="B6" s="59" t="s">
        <v>211</v>
      </c>
      <c r="C6" s="61">
        <v>4</v>
      </c>
      <c r="E6" s="51">
        <v>160</v>
      </c>
      <c r="F6" s="52">
        <f>+H6/G6</f>
        <v>32</v>
      </c>
      <c r="G6" s="9">
        <v>4.5</v>
      </c>
      <c r="H6" s="51">
        <v>144</v>
      </c>
    </row>
    <row r="7" spans="1:17" x14ac:dyDescent="0.3">
      <c r="A7" s="3" t="s">
        <v>88</v>
      </c>
      <c r="B7" s="60" t="s">
        <v>86</v>
      </c>
      <c r="C7" s="61">
        <v>5</v>
      </c>
    </row>
    <row r="8" spans="1:17" x14ac:dyDescent="0.3">
      <c r="A8" s="3" t="s">
        <v>89</v>
      </c>
      <c r="B8" s="60" t="s">
        <v>87</v>
      </c>
      <c r="C8" s="61">
        <v>4</v>
      </c>
    </row>
    <row r="9" spans="1:17" x14ac:dyDescent="0.3">
      <c r="A9" s="19"/>
      <c r="B9" s="55"/>
      <c r="C9" s="54"/>
      <c r="I9" s="15"/>
      <c r="J9" s="15"/>
      <c r="K9" s="15"/>
      <c r="L9" s="15"/>
      <c r="M9" s="15"/>
      <c r="N9" s="15"/>
      <c r="O9" s="15"/>
    </row>
    <row r="10" spans="1:17" ht="39.6" x14ac:dyDescent="0.3">
      <c r="B10" s="47"/>
      <c r="C10" s="53"/>
      <c r="E10" s="65" t="s">
        <v>76</v>
      </c>
      <c r="F10" s="56" t="s">
        <v>78</v>
      </c>
      <c r="G10" s="16" t="s">
        <v>79</v>
      </c>
      <c r="H10" s="16" t="s">
        <v>80</v>
      </c>
      <c r="I10" s="16" t="s">
        <v>84</v>
      </c>
      <c r="J10" s="15"/>
      <c r="K10" s="15"/>
      <c r="L10" s="15"/>
      <c r="M10" s="15"/>
      <c r="N10" s="15"/>
      <c r="O10" s="15"/>
    </row>
    <row r="11" spans="1:17" x14ac:dyDescent="0.3">
      <c r="B11" s="47"/>
      <c r="C11" s="13"/>
      <c r="E11" s="57">
        <v>35</v>
      </c>
      <c r="F11" s="14">
        <f>+E11/C6</f>
        <v>8.75</v>
      </c>
      <c r="G11" s="14">
        <f>+F11/$E$6</f>
        <v>5.46875E-2</v>
      </c>
      <c r="H11" s="14">
        <f>+G11*$F$6</f>
        <v>1.75</v>
      </c>
      <c r="I11" s="14">
        <f>+H11*$G$6</f>
        <v>7.875</v>
      </c>
      <c r="J11" s="15"/>
      <c r="K11" s="15"/>
      <c r="L11" s="15"/>
      <c r="M11" s="15"/>
      <c r="N11" s="15"/>
      <c r="O11" s="15"/>
    </row>
    <row r="12" spans="1:17" x14ac:dyDescent="0.3">
      <c r="B12" s="47"/>
      <c r="C12" s="13"/>
      <c r="E12" s="14">
        <v>32</v>
      </c>
      <c r="F12" s="14">
        <f>+E12/C7</f>
        <v>6.4</v>
      </c>
      <c r="G12" s="14">
        <f>+F12/$E$6</f>
        <v>0.04</v>
      </c>
      <c r="H12" s="14">
        <f>+G12*$F$6</f>
        <v>1.28</v>
      </c>
      <c r="I12" s="14">
        <f>+H12*$G$6</f>
        <v>5.76</v>
      </c>
      <c r="J12" s="15"/>
      <c r="K12" s="15"/>
      <c r="L12" s="15"/>
      <c r="M12" s="15"/>
      <c r="N12" s="15"/>
      <c r="O12" s="15"/>
    </row>
    <row r="13" spans="1:17" x14ac:dyDescent="0.3">
      <c r="B13" s="47"/>
      <c r="C13" s="13"/>
      <c r="E13" s="14">
        <v>25</v>
      </c>
      <c r="F13" s="14">
        <f>+E13/C8</f>
        <v>6.25</v>
      </c>
      <c r="G13" s="68">
        <f>+F13/$E$6</f>
        <v>3.90625E-2</v>
      </c>
      <c r="H13" s="14">
        <f>+G13*$F$6</f>
        <v>1.25</v>
      </c>
      <c r="I13" s="14">
        <f>+H13*$G$6</f>
        <v>5.625</v>
      </c>
      <c r="J13" s="15"/>
      <c r="K13" s="15"/>
      <c r="L13" s="15"/>
      <c r="M13" s="15"/>
      <c r="N13" s="15"/>
      <c r="O13" s="15"/>
    </row>
    <row r="14" spans="1:17" x14ac:dyDescent="0.3">
      <c r="B14" s="47"/>
      <c r="C14" s="13"/>
      <c r="E14" s="15"/>
      <c r="F14" s="15"/>
      <c r="G14" s="23">
        <f>+SUM(G11:G13)</f>
        <v>0.13375000000000001</v>
      </c>
      <c r="H14" s="15"/>
      <c r="I14" s="14">
        <f>+SUM(I11:I13)</f>
        <v>19.259999999999998</v>
      </c>
      <c r="J14" s="15"/>
      <c r="K14" s="15"/>
      <c r="L14" s="15"/>
      <c r="M14" s="15"/>
      <c r="N14" s="15"/>
      <c r="O14" s="15"/>
    </row>
    <row r="15" spans="1:17" x14ac:dyDescent="0.3">
      <c r="B15" s="47"/>
      <c r="C15" s="13"/>
      <c r="E15" s="15"/>
      <c r="F15" s="15"/>
      <c r="G15" s="15"/>
      <c r="H15" s="49"/>
      <c r="I15" s="48"/>
      <c r="J15" s="15"/>
      <c r="K15" s="15"/>
      <c r="L15" s="15"/>
      <c r="M15" s="15"/>
      <c r="N15" s="15"/>
      <c r="O15" s="15"/>
    </row>
    <row r="16" spans="1:17" ht="39.6" x14ac:dyDescent="0.3">
      <c r="E16" s="16" t="s">
        <v>77</v>
      </c>
      <c r="F16" s="16" t="s">
        <v>81</v>
      </c>
      <c r="G16" s="16" t="s">
        <v>82</v>
      </c>
      <c r="H16" s="66" t="s">
        <v>83</v>
      </c>
      <c r="I16" s="65" t="s">
        <v>85</v>
      </c>
      <c r="M16" s="112" t="s">
        <v>214</v>
      </c>
      <c r="N16" s="112"/>
      <c r="O16" s="113">
        <f>+I14+I20+I26</f>
        <v>41.647500000000001</v>
      </c>
      <c r="P16" s="113"/>
    </row>
    <row r="17" spans="5:16" x14ac:dyDescent="0.3">
      <c r="E17" s="14">
        <v>30</v>
      </c>
      <c r="F17" s="14">
        <f>+E17/C6</f>
        <v>7.5</v>
      </c>
      <c r="G17" s="14">
        <f>+F17/$E$6</f>
        <v>4.6875E-2</v>
      </c>
      <c r="H17" s="25">
        <f>+G17*$F$6</f>
        <v>1.5</v>
      </c>
      <c r="I17" s="58">
        <f>+H17*$G$6</f>
        <v>6.75</v>
      </c>
      <c r="M17" s="112"/>
      <c r="N17" s="112"/>
      <c r="O17" s="113"/>
      <c r="P17" s="113"/>
    </row>
    <row r="18" spans="5:16" x14ac:dyDescent="0.3">
      <c r="E18" s="14">
        <v>25</v>
      </c>
      <c r="F18" s="14">
        <f>+E18/C7</f>
        <v>5</v>
      </c>
      <c r="G18" s="14">
        <f>+F18/$E$6</f>
        <v>3.125E-2</v>
      </c>
      <c r="H18" s="25">
        <f>+G18*$F$6</f>
        <v>1</v>
      </c>
      <c r="I18" s="58">
        <f>+H18*$G$6</f>
        <v>4.5</v>
      </c>
      <c r="M18" s="112"/>
      <c r="N18" s="112"/>
      <c r="O18" s="113"/>
      <c r="P18" s="113"/>
    </row>
    <row r="19" spans="5:16" x14ac:dyDescent="0.3">
      <c r="E19" s="14">
        <v>15</v>
      </c>
      <c r="F19" s="14">
        <f>+E19/C8</f>
        <v>3.75</v>
      </c>
      <c r="G19" s="68">
        <f>+F19/$E$6</f>
        <v>2.34375E-2</v>
      </c>
      <c r="H19" s="25">
        <f>+G19*$F$6</f>
        <v>0.75</v>
      </c>
      <c r="I19" s="58">
        <f>+H19*$G$6</f>
        <v>3.375</v>
      </c>
      <c r="M19" s="112"/>
      <c r="N19" s="112"/>
      <c r="O19" s="113"/>
      <c r="P19" s="113"/>
    </row>
    <row r="20" spans="5:16" x14ac:dyDescent="0.3">
      <c r="E20" s="48"/>
      <c r="F20" s="48"/>
      <c r="G20" s="58">
        <f>+SUM(G17:G19)</f>
        <v>0.1015625</v>
      </c>
      <c r="H20" s="48"/>
      <c r="I20" s="58">
        <f>+SUM(I17:I19)</f>
        <v>14.625</v>
      </c>
    </row>
    <row r="22" spans="5:16" ht="39.6" x14ac:dyDescent="0.3">
      <c r="E22" s="16" t="s">
        <v>91</v>
      </c>
      <c r="F22" s="16" t="s">
        <v>92</v>
      </c>
      <c r="G22" s="16" t="s">
        <v>93</v>
      </c>
      <c r="H22" s="16" t="s">
        <v>94</v>
      </c>
      <c r="I22" s="67" t="s">
        <v>122</v>
      </c>
      <c r="M22" s="112" t="s">
        <v>215</v>
      </c>
      <c r="N22" s="112"/>
      <c r="O22" s="69">
        <f>+G14+G20+G26</f>
        <v>0.28921875000000002</v>
      </c>
      <c r="P22" s="69"/>
    </row>
    <row r="23" spans="5:16" ht="14.4" customHeight="1" x14ac:dyDescent="0.3">
      <c r="E23" s="14">
        <v>11.25</v>
      </c>
      <c r="F23" s="14">
        <f>+E23/C6</f>
        <v>2.8125</v>
      </c>
      <c r="G23" s="14">
        <f>+F23/$E$6</f>
        <v>1.7578125E-2</v>
      </c>
      <c r="H23" s="14">
        <f>+G23*$F$6</f>
        <v>0.5625</v>
      </c>
      <c r="I23" s="23">
        <f>+H23*$G$6</f>
        <v>2.53125</v>
      </c>
      <c r="M23" s="112"/>
      <c r="N23" s="112"/>
      <c r="O23" s="69"/>
      <c r="P23" s="69"/>
    </row>
    <row r="24" spans="5:16" ht="14.4" customHeight="1" x14ac:dyDescent="0.3">
      <c r="E24" s="14">
        <v>12</v>
      </c>
      <c r="F24" s="14">
        <f>+E24/C7</f>
        <v>2.4</v>
      </c>
      <c r="G24" s="14">
        <f>+F24/$E$6</f>
        <v>1.4999999999999999E-2</v>
      </c>
      <c r="H24" s="14">
        <f>+G24*$F$6</f>
        <v>0.48</v>
      </c>
      <c r="I24" s="23">
        <f>+H24*$G$6</f>
        <v>2.16</v>
      </c>
      <c r="M24" s="112"/>
      <c r="N24" s="112"/>
      <c r="O24" s="69"/>
      <c r="P24" s="69"/>
    </row>
    <row r="25" spans="5:16" ht="14.4" customHeight="1" x14ac:dyDescent="0.3">
      <c r="E25" s="14">
        <v>13.65</v>
      </c>
      <c r="F25" s="14">
        <f>+E25/C8</f>
        <v>3.4125000000000001</v>
      </c>
      <c r="G25" s="68">
        <f>+F25/$E$6</f>
        <v>2.1328125E-2</v>
      </c>
      <c r="H25" s="14">
        <f>+G25*$F$6</f>
        <v>0.6825</v>
      </c>
      <c r="I25" s="23">
        <f>+H25*$G$6</f>
        <v>3.07125</v>
      </c>
      <c r="M25" s="112"/>
      <c r="N25" s="112"/>
      <c r="O25" s="69"/>
      <c r="P25" s="69"/>
    </row>
    <row r="26" spans="5:16" x14ac:dyDescent="0.3">
      <c r="G26" s="23">
        <f>+SUM(G23:G25)</f>
        <v>5.3906250000000003E-2</v>
      </c>
      <c r="I26" s="23">
        <f>+SUM(I23:I25)</f>
        <v>7.7625000000000002</v>
      </c>
    </row>
  </sheetData>
  <mergeCells count="4">
    <mergeCell ref="M16:N19"/>
    <mergeCell ref="O16:P19"/>
    <mergeCell ref="M22:N25"/>
    <mergeCell ref="A1:E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E2150-83D5-48D2-A70B-120333761909}">
  <dimension ref="B3:J72"/>
  <sheetViews>
    <sheetView topLeftCell="A53" workbookViewId="0">
      <selection activeCell="J46" sqref="J46"/>
    </sheetView>
  </sheetViews>
  <sheetFormatPr baseColWidth="10" defaultRowHeight="14.4" x14ac:dyDescent="0.3"/>
  <cols>
    <col min="2" max="2" width="36.6640625" style="36" customWidth="1"/>
    <col min="4" max="4" width="19.109375" hidden="1" customWidth="1"/>
    <col min="5" max="5" width="16.5546875" customWidth="1"/>
    <col min="6" max="6" width="11.5546875" customWidth="1"/>
    <col min="7" max="7" width="19.44140625" customWidth="1"/>
  </cols>
  <sheetData>
    <row r="3" spans="2:7" ht="26.4" x14ac:dyDescent="0.3">
      <c r="B3" s="33" t="s">
        <v>98</v>
      </c>
      <c r="C3" s="29" t="s">
        <v>205</v>
      </c>
      <c r="D3" s="29" t="s">
        <v>99</v>
      </c>
      <c r="E3" s="29" t="s">
        <v>100</v>
      </c>
      <c r="F3" s="29" t="s">
        <v>126</v>
      </c>
      <c r="G3" s="29" t="s">
        <v>127</v>
      </c>
    </row>
    <row r="4" spans="2:7" x14ac:dyDescent="0.3">
      <c r="B4" s="39" t="s">
        <v>59</v>
      </c>
      <c r="C4" s="40">
        <f>+C5+C12</f>
        <v>37</v>
      </c>
      <c r="D4" s="40"/>
      <c r="E4" s="40"/>
      <c r="F4" s="40"/>
      <c r="G4" s="40"/>
    </row>
    <row r="5" spans="2:7" x14ac:dyDescent="0.3">
      <c r="B5" s="34" t="s">
        <v>101</v>
      </c>
      <c r="C5" s="38">
        <f>+SUM(C6:C11)</f>
        <v>15</v>
      </c>
      <c r="D5" s="30" t="s">
        <v>128</v>
      </c>
      <c r="E5" s="30" t="s">
        <v>61</v>
      </c>
      <c r="F5" s="31"/>
      <c r="G5" s="31"/>
    </row>
    <row r="6" spans="2:7" x14ac:dyDescent="0.3">
      <c r="B6" s="35" t="s">
        <v>102</v>
      </c>
      <c r="C6" s="37">
        <v>2</v>
      </c>
      <c r="D6" s="32" t="s">
        <v>128</v>
      </c>
      <c r="E6" s="32" t="s">
        <v>128</v>
      </c>
      <c r="F6" s="31"/>
      <c r="G6" s="32" t="s">
        <v>129</v>
      </c>
    </row>
    <row r="7" spans="2:7" x14ac:dyDescent="0.3">
      <c r="B7" s="35" t="s">
        <v>103</v>
      </c>
      <c r="C7" s="32">
        <v>3</v>
      </c>
      <c r="D7" s="32" t="s">
        <v>130</v>
      </c>
      <c r="E7" s="32" t="s">
        <v>130</v>
      </c>
      <c r="F7" s="32">
        <v>3</v>
      </c>
      <c r="G7" s="32" t="s">
        <v>131</v>
      </c>
    </row>
    <row r="8" spans="2:7" ht="28.8" x14ac:dyDescent="0.3">
      <c r="B8" s="35" t="s">
        <v>104</v>
      </c>
      <c r="C8" s="32">
        <v>3</v>
      </c>
      <c r="D8" s="32" t="s">
        <v>60</v>
      </c>
      <c r="E8" s="32" t="s">
        <v>60</v>
      </c>
      <c r="F8" s="32">
        <v>3</v>
      </c>
      <c r="G8" s="32" t="s">
        <v>129</v>
      </c>
    </row>
    <row r="9" spans="2:7" x14ac:dyDescent="0.3">
      <c r="B9" s="35" t="s">
        <v>105</v>
      </c>
      <c r="C9" s="32">
        <v>1</v>
      </c>
      <c r="D9" s="32" t="s">
        <v>132</v>
      </c>
      <c r="E9" s="32" t="s">
        <v>132</v>
      </c>
      <c r="F9" s="32" t="s">
        <v>133</v>
      </c>
      <c r="G9" s="32" t="s">
        <v>89</v>
      </c>
    </row>
    <row r="10" spans="2:7" x14ac:dyDescent="0.3">
      <c r="B10" s="35" t="s">
        <v>106</v>
      </c>
      <c r="C10" s="32">
        <v>4</v>
      </c>
      <c r="D10" s="32" t="s">
        <v>62</v>
      </c>
      <c r="E10" s="32" t="s">
        <v>62</v>
      </c>
      <c r="F10" s="32">
        <v>6</v>
      </c>
      <c r="G10" s="32" t="s">
        <v>88</v>
      </c>
    </row>
    <row r="11" spans="2:7" x14ac:dyDescent="0.3">
      <c r="B11" s="35" t="s">
        <v>107</v>
      </c>
      <c r="C11" s="32">
        <v>2</v>
      </c>
      <c r="D11" s="32" t="s">
        <v>61</v>
      </c>
      <c r="E11" s="32" t="s">
        <v>61</v>
      </c>
      <c r="F11" s="32">
        <v>7</v>
      </c>
      <c r="G11" s="32" t="s">
        <v>129</v>
      </c>
    </row>
    <row r="12" spans="2:7" x14ac:dyDescent="0.3">
      <c r="B12" s="34" t="s">
        <v>108</v>
      </c>
      <c r="C12" s="30">
        <f>+SUM(C13:C20)</f>
        <v>22</v>
      </c>
      <c r="D12" s="30" t="s">
        <v>63</v>
      </c>
      <c r="E12" s="30" t="s">
        <v>68</v>
      </c>
      <c r="F12" s="31"/>
      <c r="G12" s="31"/>
    </row>
    <row r="13" spans="2:7" ht="28.8" x14ac:dyDescent="0.3">
      <c r="B13" s="35" t="s">
        <v>109</v>
      </c>
      <c r="C13" s="32">
        <v>2</v>
      </c>
      <c r="D13" s="32" t="s">
        <v>63</v>
      </c>
      <c r="E13" s="32" t="s">
        <v>63</v>
      </c>
      <c r="F13" s="32">
        <v>8</v>
      </c>
      <c r="G13" s="32" t="s">
        <v>129</v>
      </c>
    </row>
    <row r="14" spans="2:7" ht="28.8" x14ac:dyDescent="0.3">
      <c r="B14" s="35" t="s">
        <v>110</v>
      </c>
      <c r="C14" s="32">
        <v>1</v>
      </c>
      <c r="D14" s="32" t="s">
        <v>69</v>
      </c>
      <c r="E14" s="32" t="s">
        <v>69</v>
      </c>
      <c r="F14" s="32">
        <v>10</v>
      </c>
      <c r="G14" s="32" t="s">
        <v>129</v>
      </c>
    </row>
    <row r="15" spans="2:7" ht="28.8" x14ac:dyDescent="0.3">
      <c r="B15" s="35" t="s">
        <v>111</v>
      </c>
      <c r="C15" s="32">
        <v>3</v>
      </c>
      <c r="D15" s="32" t="s">
        <v>64</v>
      </c>
      <c r="E15" s="32" t="s">
        <v>64</v>
      </c>
      <c r="F15" s="32">
        <v>10</v>
      </c>
      <c r="G15" s="32" t="s">
        <v>134</v>
      </c>
    </row>
    <row r="16" spans="2:7" ht="28.8" x14ac:dyDescent="0.3">
      <c r="B16" s="35" t="s">
        <v>112</v>
      </c>
      <c r="C16" s="32">
        <v>2</v>
      </c>
      <c r="D16" s="32" t="s">
        <v>65</v>
      </c>
      <c r="E16" s="32" t="s">
        <v>65</v>
      </c>
      <c r="F16" s="32">
        <v>12</v>
      </c>
      <c r="G16" s="32" t="s">
        <v>88</v>
      </c>
    </row>
    <row r="17" spans="2:7" ht="28.8" x14ac:dyDescent="0.3">
      <c r="B17" s="35" t="s">
        <v>113</v>
      </c>
      <c r="C17" s="32">
        <v>2</v>
      </c>
      <c r="D17" s="32" t="s">
        <v>135</v>
      </c>
      <c r="E17" s="32" t="s">
        <v>135</v>
      </c>
      <c r="F17" s="32" t="s">
        <v>136</v>
      </c>
      <c r="G17" s="32" t="s">
        <v>129</v>
      </c>
    </row>
    <row r="18" spans="2:7" x14ac:dyDescent="0.3">
      <c r="B18" s="35" t="s">
        <v>114</v>
      </c>
      <c r="C18" s="32">
        <v>3</v>
      </c>
      <c r="D18" s="32" t="s">
        <v>66</v>
      </c>
      <c r="E18" s="32" t="s">
        <v>66</v>
      </c>
      <c r="F18" s="32">
        <v>14</v>
      </c>
      <c r="G18" s="32" t="s">
        <v>89</v>
      </c>
    </row>
    <row r="19" spans="2:7" ht="28.8" x14ac:dyDescent="0.3">
      <c r="B19" s="35" t="s">
        <v>115</v>
      </c>
      <c r="C19" s="32">
        <v>6</v>
      </c>
      <c r="D19" s="32" t="s">
        <v>67</v>
      </c>
      <c r="E19" s="32" t="s">
        <v>67</v>
      </c>
      <c r="F19" s="32">
        <v>15</v>
      </c>
      <c r="G19" s="32" t="s">
        <v>131</v>
      </c>
    </row>
    <row r="20" spans="2:7" x14ac:dyDescent="0.3">
      <c r="B20" s="35" t="s">
        <v>137</v>
      </c>
      <c r="C20" s="32">
        <v>3</v>
      </c>
      <c r="D20" s="32" t="s">
        <v>68</v>
      </c>
      <c r="E20" s="32" t="s">
        <v>68</v>
      </c>
      <c r="F20" s="32">
        <v>16</v>
      </c>
      <c r="G20" s="32" t="s">
        <v>131</v>
      </c>
    </row>
    <row r="21" spans="2:7" x14ac:dyDescent="0.3">
      <c r="B21" s="39" t="s">
        <v>138</v>
      </c>
      <c r="C21" s="41">
        <f>+C22+C28+C35</f>
        <v>40</v>
      </c>
      <c r="D21" s="41" t="s">
        <v>139</v>
      </c>
      <c r="E21" s="41" t="s">
        <v>72</v>
      </c>
      <c r="F21" s="40"/>
      <c r="G21" s="40"/>
    </row>
    <row r="22" spans="2:7" x14ac:dyDescent="0.3">
      <c r="B22" s="34" t="s">
        <v>140</v>
      </c>
      <c r="C22" s="30">
        <f>+SUM(C23:C27)</f>
        <v>16</v>
      </c>
      <c r="D22" s="30" t="s">
        <v>139</v>
      </c>
      <c r="E22" s="30" t="s">
        <v>141</v>
      </c>
      <c r="F22" s="31"/>
      <c r="G22" s="31"/>
    </row>
    <row r="23" spans="2:7" x14ac:dyDescent="0.3">
      <c r="B23" s="35" t="s">
        <v>142</v>
      </c>
      <c r="C23" s="32">
        <v>2</v>
      </c>
      <c r="D23" s="32" t="s">
        <v>139</v>
      </c>
      <c r="E23" s="32" t="s">
        <v>139</v>
      </c>
      <c r="F23" s="32">
        <v>17</v>
      </c>
      <c r="G23" s="32" t="s">
        <v>131</v>
      </c>
    </row>
    <row r="24" spans="2:7" x14ac:dyDescent="0.3">
      <c r="B24" s="35" t="s">
        <v>143</v>
      </c>
      <c r="C24" s="32">
        <v>4</v>
      </c>
      <c r="D24" s="32" t="s">
        <v>144</v>
      </c>
      <c r="E24" s="32" t="s">
        <v>144</v>
      </c>
      <c r="F24" s="32">
        <v>20</v>
      </c>
      <c r="G24" s="32" t="s">
        <v>131</v>
      </c>
    </row>
    <row r="25" spans="2:7" x14ac:dyDescent="0.3">
      <c r="B25" s="35" t="s">
        <v>145</v>
      </c>
      <c r="C25" s="32">
        <v>4</v>
      </c>
      <c r="D25" s="32" t="s">
        <v>146</v>
      </c>
      <c r="E25" s="32" t="s">
        <v>146</v>
      </c>
      <c r="F25" s="32">
        <v>21</v>
      </c>
      <c r="G25" s="32" t="s">
        <v>131</v>
      </c>
    </row>
    <row r="26" spans="2:7" x14ac:dyDescent="0.3">
      <c r="B26" s="35" t="s">
        <v>147</v>
      </c>
      <c r="C26" s="32">
        <v>4</v>
      </c>
      <c r="D26" s="32" t="s">
        <v>148</v>
      </c>
      <c r="E26" s="32" t="s">
        <v>148</v>
      </c>
      <c r="F26" s="32">
        <v>22</v>
      </c>
      <c r="G26" s="32" t="s">
        <v>129</v>
      </c>
    </row>
    <row r="27" spans="2:7" x14ac:dyDescent="0.3">
      <c r="B27" s="35" t="s">
        <v>149</v>
      </c>
      <c r="C27" s="32">
        <v>2</v>
      </c>
      <c r="D27" s="32" t="s">
        <v>141</v>
      </c>
      <c r="E27" s="32" t="s">
        <v>141</v>
      </c>
      <c r="F27" s="32">
        <v>23</v>
      </c>
      <c r="G27" s="32" t="s">
        <v>131</v>
      </c>
    </row>
    <row r="28" spans="2:7" x14ac:dyDescent="0.3">
      <c r="B28" s="34" t="s">
        <v>150</v>
      </c>
      <c r="C28" s="30">
        <f>+SUM(C29:C34)</f>
        <v>16</v>
      </c>
      <c r="D28" s="30" t="s">
        <v>144</v>
      </c>
      <c r="E28" s="30" t="s">
        <v>141</v>
      </c>
      <c r="F28" s="31"/>
      <c r="G28" s="31"/>
    </row>
    <row r="29" spans="2:7" x14ac:dyDescent="0.3">
      <c r="B29" s="35" t="s">
        <v>151</v>
      </c>
      <c r="C29" s="32">
        <v>2</v>
      </c>
      <c r="D29" s="32" t="s">
        <v>144</v>
      </c>
      <c r="E29" s="32" t="s">
        <v>144</v>
      </c>
      <c r="F29" s="32">
        <v>24</v>
      </c>
      <c r="G29" s="32" t="s">
        <v>88</v>
      </c>
    </row>
    <row r="30" spans="2:7" x14ac:dyDescent="0.3">
      <c r="B30" s="35" t="s">
        <v>152</v>
      </c>
      <c r="C30" s="32">
        <v>4</v>
      </c>
      <c r="D30" s="32" t="s">
        <v>146</v>
      </c>
      <c r="E30" s="32" t="s">
        <v>146</v>
      </c>
      <c r="F30" s="32">
        <v>26</v>
      </c>
      <c r="G30" s="32" t="s">
        <v>88</v>
      </c>
    </row>
    <row r="31" spans="2:7" x14ac:dyDescent="0.3">
      <c r="B31" s="35" t="s">
        <v>153</v>
      </c>
      <c r="C31" s="32">
        <v>4</v>
      </c>
      <c r="D31" s="32" t="s">
        <v>148</v>
      </c>
      <c r="E31" s="32" t="s">
        <v>148</v>
      </c>
      <c r="F31" s="32">
        <v>27</v>
      </c>
      <c r="G31" s="32" t="s">
        <v>88</v>
      </c>
    </row>
    <row r="32" spans="2:7" x14ac:dyDescent="0.3">
      <c r="B32" s="35" t="s">
        <v>154</v>
      </c>
      <c r="C32" s="32">
        <v>2</v>
      </c>
      <c r="D32" s="32" t="s">
        <v>71</v>
      </c>
      <c r="E32" s="32" t="s">
        <v>71</v>
      </c>
      <c r="F32" s="32">
        <v>28</v>
      </c>
      <c r="G32" s="32" t="s">
        <v>89</v>
      </c>
    </row>
    <row r="33" spans="2:10" x14ac:dyDescent="0.3">
      <c r="B33" s="35" t="s">
        <v>155</v>
      </c>
      <c r="C33" s="32">
        <v>2</v>
      </c>
      <c r="D33" s="32" t="s">
        <v>156</v>
      </c>
      <c r="E33" s="32" t="s">
        <v>156</v>
      </c>
      <c r="F33" s="32">
        <v>29</v>
      </c>
      <c r="G33" s="32" t="s">
        <v>88</v>
      </c>
    </row>
    <row r="34" spans="2:10" x14ac:dyDescent="0.3">
      <c r="B34" s="35" t="s">
        <v>157</v>
      </c>
      <c r="C34" s="32">
        <v>2</v>
      </c>
      <c r="D34" s="32" t="s">
        <v>141</v>
      </c>
      <c r="E34" s="32" t="s">
        <v>141</v>
      </c>
      <c r="F34" s="32">
        <v>30</v>
      </c>
      <c r="G34" s="32" t="s">
        <v>131</v>
      </c>
    </row>
    <row r="35" spans="2:10" x14ac:dyDescent="0.3">
      <c r="B35" s="34" t="s">
        <v>158</v>
      </c>
      <c r="C35" s="30">
        <f>+SUM(C36:C39)</f>
        <v>8</v>
      </c>
      <c r="D35" s="30" t="s">
        <v>70</v>
      </c>
      <c r="E35" s="30" t="s">
        <v>72</v>
      </c>
      <c r="F35" s="31"/>
      <c r="G35" s="31"/>
    </row>
    <row r="36" spans="2:10" x14ac:dyDescent="0.3">
      <c r="B36" s="35" t="s">
        <v>159</v>
      </c>
      <c r="C36" s="32">
        <v>2</v>
      </c>
      <c r="D36" s="32" t="s">
        <v>70</v>
      </c>
      <c r="E36" s="32" t="s">
        <v>70</v>
      </c>
      <c r="F36" s="32">
        <v>31</v>
      </c>
      <c r="G36" s="32" t="s">
        <v>129</v>
      </c>
    </row>
    <row r="37" spans="2:10" x14ac:dyDescent="0.3">
      <c r="B37" s="35" t="s">
        <v>160</v>
      </c>
      <c r="C37" s="32">
        <v>3</v>
      </c>
      <c r="D37" s="32" t="s">
        <v>161</v>
      </c>
      <c r="E37" s="32" t="s">
        <v>161</v>
      </c>
      <c r="F37" s="32">
        <v>33</v>
      </c>
      <c r="G37" s="32" t="s">
        <v>129</v>
      </c>
    </row>
    <row r="38" spans="2:10" x14ac:dyDescent="0.3">
      <c r="B38" s="35" t="s">
        <v>162</v>
      </c>
      <c r="C38" s="32">
        <v>2</v>
      </c>
      <c r="D38" s="32" t="s">
        <v>72</v>
      </c>
      <c r="E38" s="32" t="s">
        <v>72</v>
      </c>
      <c r="F38" s="32">
        <v>34</v>
      </c>
      <c r="G38" s="32" t="s">
        <v>129</v>
      </c>
    </row>
    <row r="39" spans="2:10" x14ac:dyDescent="0.3">
      <c r="B39" s="35" t="s">
        <v>163</v>
      </c>
      <c r="C39" s="32">
        <v>1</v>
      </c>
      <c r="D39" s="32" t="s">
        <v>72</v>
      </c>
      <c r="E39" s="32" t="s">
        <v>72</v>
      </c>
      <c r="F39" s="32">
        <v>35</v>
      </c>
      <c r="G39" s="32" t="s">
        <v>131</v>
      </c>
    </row>
    <row r="40" spans="2:10" x14ac:dyDescent="0.3">
      <c r="B40" s="39" t="s">
        <v>164</v>
      </c>
      <c r="C40" s="41">
        <f>+C41+C46</f>
        <v>35</v>
      </c>
      <c r="D40" s="41" t="s">
        <v>165</v>
      </c>
      <c r="E40" s="41" t="s">
        <v>166</v>
      </c>
      <c r="F40" s="40"/>
      <c r="G40" s="40"/>
    </row>
    <row r="41" spans="2:10" ht="28.8" x14ac:dyDescent="0.3">
      <c r="B41" s="42" t="s">
        <v>73</v>
      </c>
      <c r="C41" s="30">
        <f>+SUM(C42:C45)</f>
        <v>18</v>
      </c>
      <c r="D41" s="30" t="s">
        <v>165</v>
      </c>
      <c r="E41" s="30" t="s">
        <v>167</v>
      </c>
      <c r="F41" s="31"/>
      <c r="G41" s="31"/>
      <c r="I41" s="21" t="s">
        <v>120</v>
      </c>
      <c r="J41" s="24" cm="1">
        <f t="array" ref="J41">+SUM(C32+C42:C45)</f>
        <v>26</v>
      </c>
    </row>
    <row r="42" spans="2:10" x14ac:dyDescent="0.3">
      <c r="B42" s="43" t="s">
        <v>168</v>
      </c>
      <c r="C42" s="32">
        <v>4</v>
      </c>
      <c r="D42" s="32" t="s">
        <v>165</v>
      </c>
      <c r="E42" s="32" t="s">
        <v>165</v>
      </c>
      <c r="F42" s="32">
        <v>36</v>
      </c>
      <c r="G42" s="32" t="s">
        <v>89</v>
      </c>
      <c r="I42" s="1"/>
      <c r="J42" s="26"/>
    </row>
    <row r="43" spans="2:10" ht="28.8" x14ac:dyDescent="0.3">
      <c r="B43" s="43" t="s">
        <v>169</v>
      </c>
      <c r="C43" s="32">
        <v>5</v>
      </c>
      <c r="D43" s="32" t="s">
        <v>165</v>
      </c>
      <c r="E43" s="32" t="s">
        <v>165</v>
      </c>
      <c r="F43" s="32">
        <v>39</v>
      </c>
      <c r="G43" s="32" t="s">
        <v>89</v>
      </c>
      <c r="I43" s="21" t="s">
        <v>121</v>
      </c>
      <c r="J43" s="27">
        <v>4</v>
      </c>
    </row>
    <row r="44" spans="2:10" x14ac:dyDescent="0.3">
      <c r="B44" s="43" t="s">
        <v>170</v>
      </c>
      <c r="C44" s="32">
        <v>5</v>
      </c>
      <c r="D44" s="32" t="s">
        <v>167</v>
      </c>
      <c r="E44" s="32" t="s">
        <v>167</v>
      </c>
      <c r="F44" s="32">
        <v>40</v>
      </c>
      <c r="G44" s="32" t="s">
        <v>89</v>
      </c>
      <c r="I44" s="1"/>
      <c r="J44" s="26"/>
    </row>
    <row r="45" spans="2:10" x14ac:dyDescent="0.3">
      <c r="B45" s="43" t="s">
        <v>171</v>
      </c>
      <c r="C45" s="32">
        <v>4</v>
      </c>
      <c r="D45" s="32" t="s">
        <v>167</v>
      </c>
      <c r="E45" s="32" t="s">
        <v>172</v>
      </c>
      <c r="F45" s="32">
        <v>41</v>
      </c>
      <c r="G45" s="32" t="s">
        <v>89</v>
      </c>
      <c r="I45" s="1"/>
      <c r="J45" s="26"/>
    </row>
    <row r="46" spans="2:10" ht="28.8" x14ac:dyDescent="0.3">
      <c r="B46" s="44" t="s">
        <v>74</v>
      </c>
      <c r="C46" s="30">
        <f>+SUM(C47:C54)</f>
        <v>17</v>
      </c>
      <c r="D46" s="30" t="s">
        <v>173</v>
      </c>
      <c r="E46" s="30" t="s">
        <v>166</v>
      </c>
      <c r="F46" s="31"/>
      <c r="G46" s="31"/>
      <c r="I46" s="21" t="s">
        <v>208</v>
      </c>
      <c r="J46" s="22">
        <f>+SUM(C52:C53)</f>
        <v>8</v>
      </c>
    </row>
    <row r="47" spans="2:10" x14ac:dyDescent="0.3">
      <c r="B47" s="35" t="s">
        <v>174</v>
      </c>
      <c r="C47" s="32">
        <v>3</v>
      </c>
      <c r="D47" s="32" t="s">
        <v>173</v>
      </c>
      <c r="E47" s="32" t="s">
        <v>173</v>
      </c>
      <c r="F47" s="32">
        <v>42</v>
      </c>
      <c r="G47" s="32" t="s">
        <v>131</v>
      </c>
      <c r="I47" s="1"/>
    </row>
    <row r="48" spans="2:10" ht="13.8" customHeight="1" x14ac:dyDescent="0.3">
      <c r="B48" s="43" t="s">
        <v>168</v>
      </c>
      <c r="C48" s="115" t="s">
        <v>207</v>
      </c>
      <c r="D48" s="116"/>
      <c r="E48" s="116"/>
      <c r="F48" s="116"/>
      <c r="G48" s="117"/>
      <c r="I48" s="124" t="s">
        <v>121</v>
      </c>
      <c r="J48" s="125">
        <v>6</v>
      </c>
    </row>
    <row r="49" spans="2:10" x14ac:dyDescent="0.3">
      <c r="B49" s="43" t="s">
        <v>169</v>
      </c>
      <c r="C49" s="118"/>
      <c r="D49" s="119"/>
      <c r="E49" s="119"/>
      <c r="F49" s="119"/>
      <c r="G49" s="120"/>
      <c r="I49" s="124"/>
      <c r="J49" s="125"/>
    </row>
    <row r="50" spans="2:10" x14ac:dyDescent="0.3">
      <c r="B50" s="43" t="s">
        <v>170</v>
      </c>
      <c r="C50" s="118"/>
      <c r="D50" s="119"/>
      <c r="E50" s="119"/>
      <c r="F50" s="119"/>
      <c r="G50" s="120"/>
      <c r="I50" s="1"/>
    </row>
    <row r="51" spans="2:10" x14ac:dyDescent="0.3">
      <c r="B51" s="43" t="s">
        <v>171</v>
      </c>
      <c r="C51" s="121"/>
      <c r="D51" s="122"/>
      <c r="E51" s="122"/>
      <c r="F51" s="122"/>
      <c r="G51" s="123"/>
      <c r="I51" s="1"/>
    </row>
    <row r="52" spans="2:10" x14ac:dyDescent="0.3">
      <c r="B52" s="45" t="s">
        <v>175</v>
      </c>
      <c r="C52" s="32">
        <v>4</v>
      </c>
      <c r="D52" s="32" t="s">
        <v>173</v>
      </c>
      <c r="E52" s="32" t="s">
        <v>173</v>
      </c>
      <c r="F52" s="32">
        <v>44</v>
      </c>
      <c r="G52" s="32" t="s">
        <v>88</v>
      </c>
    </row>
    <row r="53" spans="2:10" ht="28.8" x14ac:dyDescent="0.3">
      <c r="B53" s="45" t="s">
        <v>176</v>
      </c>
      <c r="C53" s="32">
        <v>4</v>
      </c>
      <c r="D53" s="32" t="s">
        <v>166</v>
      </c>
      <c r="E53" s="32" t="s">
        <v>166</v>
      </c>
      <c r="F53" s="32">
        <v>45</v>
      </c>
      <c r="G53" s="32" t="s">
        <v>88</v>
      </c>
    </row>
    <row r="54" spans="2:10" x14ac:dyDescent="0.3">
      <c r="B54" s="35" t="s">
        <v>177</v>
      </c>
      <c r="C54" s="32">
        <v>6</v>
      </c>
      <c r="D54" s="32" t="s">
        <v>166</v>
      </c>
      <c r="E54" s="32" t="s">
        <v>166</v>
      </c>
      <c r="F54" s="32">
        <v>46</v>
      </c>
      <c r="G54" s="32" t="s">
        <v>129</v>
      </c>
    </row>
    <row r="55" spans="2:10" x14ac:dyDescent="0.3">
      <c r="B55" s="39" t="s">
        <v>178</v>
      </c>
      <c r="C55" s="41">
        <f>+C56+C61</f>
        <v>16</v>
      </c>
      <c r="D55" s="41" t="s">
        <v>172</v>
      </c>
      <c r="E55" s="41" t="s">
        <v>179</v>
      </c>
      <c r="F55" s="40"/>
      <c r="G55" s="40"/>
    </row>
    <row r="56" spans="2:10" x14ac:dyDescent="0.3">
      <c r="B56" s="34" t="s">
        <v>180</v>
      </c>
      <c r="C56" s="30">
        <f>+SUM(C57:C60)</f>
        <v>10</v>
      </c>
      <c r="D56" s="30" t="s">
        <v>172</v>
      </c>
      <c r="E56" s="30" t="s">
        <v>181</v>
      </c>
      <c r="F56" s="31"/>
      <c r="G56" s="31"/>
    </row>
    <row r="57" spans="2:10" x14ac:dyDescent="0.3">
      <c r="B57" s="35" t="s">
        <v>182</v>
      </c>
      <c r="C57" s="32">
        <v>3</v>
      </c>
      <c r="D57" s="32" t="s">
        <v>172</v>
      </c>
      <c r="E57" s="32" t="s">
        <v>172</v>
      </c>
      <c r="F57" s="32">
        <v>47</v>
      </c>
      <c r="G57" s="32" t="s">
        <v>131</v>
      </c>
    </row>
    <row r="58" spans="2:10" x14ac:dyDescent="0.3">
      <c r="B58" s="35" t="s">
        <v>183</v>
      </c>
      <c r="C58" s="32">
        <v>3</v>
      </c>
      <c r="D58" s="32" t="s">
        <v>184</v>
      </c>
      <c r="E58" s="32" t="s">
        <v>184</v>
      </c>
      <c r="F58" s="32">
        <v>50</v>
      </c>
      <c r="G58" s="32" t="s">
        <v>131</v>
      </c>
    </row>
    <row r="59" spans="2:10" x14ac:dyDescent="0.3">
      <c r="B59" s="35" t="s">
        <v>185</v>
      </c>
      <c r="C59" s="32">
        <v>2</v>
      </c>
      <c r="D59" s="32" t="s">
        <v>186</v>
      </c>
      <c r="E59" s="32" t="s">
        <v>186</v>
      </c>
      <c r="F59" s="32">
        <v>51</v>
      </c>
      <c r="G59" s="32" t="s">
        <v>89</v>
      </c>
    </row>
    <row r="60" spans="2:10" x14ac:dyDescent="0.3">
      <c r="B60" s="35" t="s">
        <v>187</v>
      </c>
      <c r="C60" s="32">
        <v>2</v>
      </c>
      <c r="D60" s="32" t="s">
        <v>181</v>
      </c>
      <c r="E60" s="32" t="s">
        <v>181</v>
      </c>
      <c r="F60" s="32">
        <v>52</v>
      </c>
      <c r="G60" s="32" t="s">
        <v>129</v>
      </c>
    </row>
    <row r="61" spans="2:10" x14ac:dyDescent="0.3">
      <c r="B61" s="34" t="s">
        <v>188</v>
      </c>
      <c r="C61" s="30">
        <f>+SUM(C62:C64)</f>
        <v>6</v>
      </c>
      <c r="D61" s="30" t="s">
        <v>189</v>
      </c>
      <c r="E61" s="30" t="s">
        <v>179</v>
      </c>
      <c r="F61" s="31"/>
      <c r="G61" s="31"/>
    </row>
    <row r="62" spans="2:10" x14ac:dyDescent="0.3">
      <c r="B62" s="35" t="s">
        <v>190</v>
      </c>
      <c r="C62" s="32">
        <v>3</v>
      </c>
      <c r="D62" s="32" t="s">
        <v>189</v>
      </c>
      <c r="E62" s="32" t="s">
        <v>189</v>
      </c>
      <c r="F62" s="32">
        <v>53</v>
      </c>
      <c r="G62" s="32" t="s">
        <v>131</v>
      </c>
    </row>
    <row r="63" spans="2:10" x14ac:dyDescent="0.3">
      <c r="B63" s="35" t="s">
        <v>185</v>
      </c>
      <c r="C63" s="32">
        <v>2</v>
      </c>
      <c r="D63" s="32" t="s">
        <v>191</v>
      </c>
      <c r="E63" s="32" t="s">
        <v>191</v>
      </c>
      <c r="F63" s="32">
        <v>55</v>
      </c>
      <c r="G63" s="32" t="s">
        <v>131</v>
      </c>
    </row>
    <row r="64" spans="2:10" x14ac:dyDescent="0.3">
      <c r="B64" s="35" t="s">
        <v>192</v>
      </c>
      <c r="C64" s="32">
        <v>1</v>
      </c>
      <c r="D64" s="32" t="s">
        <v>179</v>
      </c>
      <c r="E64" s="32" t="s">
        <v>179</v>
      </c>
      <c r="F64" s="32">
        <v>56</v>
      </c>
      <c r="G64" s="32" t="s">
        <v>129</v>
      </c>
    </row>
    <row r="65" spans="2:7" x14ac:dyDescent="0.3">
      <c r="B65" s="39" t="s">
        <v>193</v>
      </c>
      <c r="C65" s="41">
        <f>+SUM(C66:C70)</f>
        <v>16</v>
      </c>
      <c r="D65" s="41" t="s">
        <v>194</v>
      </c>
      <c r="E65" s="41" t="s">
        <v>195</v>
      </c>
      <c r="F65" s="40"/>
      <c r="G65" s="40"/>
    </row>
    <row r="66" spans="2:7" x14ac:dyDescent="0.3">
      <c r="B66" s="35" t="s">
        <v>196</v>
      </c>
      <c r="C66" s="32">
        <v>3</v>
      </c>
      <c r="D66" s="32" t="s">
        <v>194</v>
      </c>
      <c r="E66" s="32" t="s">
        <v>194</v>
      </c>
      <c r="F66" s="32">
        <v>57</v>
      </c>
      <c r="G66" s="32" t="s">
        <v>129</v>
      </c>
    </row>
    <row r="67" spans="2:7" x14ac:dyDescent="0.3">
      <c r="B67" s="35" t="s">
        <v>197</v>
      </c>
      <c r="C67" s="32">
        <v>5</v>
      </c>
      <c r="D67" s="32" t="s">
        <v>198</v>
      </c>
      <c r="E67" s="32" t="s">
        <v>198</v>
      </c>
      <c r="F67" s="32">
        <v>59</v>
      </c>
      <c r="G67" s="32" t="s">
        <v>131</v>
      </c>
    </row>
    <row r="68" spans="2:7" x14ac:dyDescent="0.3">
      <c r="B68" s="35" t="s">
        <v>199</v>
      </c>
      <c r="C68" s="32">
        <v>3</v>
      </c>
      <c r="D68" s="32" t="s">
        <v>200</v>
      </c>
      <c r="E68" s="32" t="s">
        <v>200</v>
      </c>
      <c r="F68" s="32">
        <v>60</v>
      </c>
      <c r="G68" s="32" t="s">
        <v>131</v>
      </c>
    </row>
    <row r="69" spans="2:7" x14ac:dyDescent="0.3">
      <c r="B69" s="35" t="s">
        <v>201</v>
      </c>
      <c r="C69" s="32">
        <v>3</v>
      </c>
      <c r="D69" s="32" t="s">
        <v>202</v>
      </c>
      <c r="E69" s="32" t="s">
        <v>202</v>
      </c>
      <c r="F69" s="32">
        <v>61</v>
      </c>
      <c r="G69" s="32" t="s">
        <v>89</v>
      </c>
    </row>
    <row r="70" spans="2:7" x14ac:dyDescent="0.3">
      <c r="B70" s="35" t="s">
        <v>203</v>
      </c>
      <c r="C70" s="32">
        <v>2</v>
      </c>
      <c r="D70" s="32" t="s">
        <v>204</v>
      </c>
      <c r="E70" s="32" t="s">
        <v>204</v>
      </c>
      <c r="F70" s="32">
        <v>62</v>
      </c>
      <c r="G70" s="32" t="s">
        <v>131</v>
      </c>
    </row>
    <row r="72" spans="2:7" x14ac:dyDescent="0.3">
      <c r="C72">
        <f>+C4+C21+C40+C55+C65</f>
        <v>144</v>
      </c>
    </row>
  </sheetData>
  <mergeCells count="3">
    <mergeCell ref="C48:G51"/>
    <mergeCell ref="I48:I49"/>
    <mergeCell ref="J48:J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6CFF6-9DD3-4541-B6B0-D6BF0F50BE61}">
  <dimension ref="A5:F17"/>
  <sheetViews>
    <sheetView zoomScale="91" workbookViewId="0">
      <selection activeCell="D18" sqref="D18"/>
    </sheetView>
  </sheetViews>
  <sheetFormatPr baseColWidth="10" defaultRowHeight="14.4" x14ac:dyDescent="0.3"/>
  <cols>
    <col min="4" max="4" width="32.33203125" bestFit="1" customWidth="1"/>
    <col min="11" max="11" width="25.109375" bestFit="1" customWidth="1"/>
  </cols>
  <sheetData>
    <row r="5" spans="1:6" x14ac:dyDescent="0.3">
      <c r="B5" s="126" t="s">
        <v>119</v>
      </c>
      <c r="C5" s="127"/>
      <c r="D5" s="18" t="s">
        <v>116</v>
      </c>
      <c r="E5" s="20">
        <f>+SUM(Proyección!B5:B7)</f>
        <v>1604.6336111111111</v>
      </c>
    </row>
    <row r="6" spans="1:6" x14ac:dyDescent="0.3">
      <c r="D6" s="19"/>
    </row>
    <row r="7" spans="1:6" x14ac:dyDescent="0.3">
      <c r="D7" s="19"/>
      <c r="E7" s="19"/>
    </row>
    <row r="8" spans="1:6" x14ac:dyDescent="0.3">
      <c r="A8" s="94"/>
      <c r="B8" s="94"/>
      <c r="C8" s="94"/>
      <c r="D8" s="95"/>
      <c r="E8" s="95"/>
      <c r="F8" s="94"/>
    </row>
    <row r="9" spans="1:6" ht="57.6" customHeight="1" x14ac:dyDescent="0.3">
      <c r="A9" s="94"/>
      <c r="B9" s="128" t="s">
        <v>74</v>
      </c>
      <c r="C9" s="128"/>
      <c r="D9" s="128"/>
      <c r="E9" s="128"/>
      <c r="F9" s="96"/>
    </row>
    <row r="10" spans="1:6" x14ac:dyDescent="0.3">
      <c r="A10" s="94"/>
      <c r="F10" s="96"/>
    </row>
    <row r="11" spans="1:6" x14ac:dyDescent="0.3">
      <c r="A11" s="94"/>
      <c r="F11" s="96"/>
    </row>
    <row r="12" spans="1:6" x14ac:dyDescent="0.3">
      <c r="A12" s="94"/>
      <c r="B12" s="126" t="s">
        <v>118</v>
      </c>
      <c r="C12" s="127"/>
      <c r="D12" s="18" t="s">
        <v>96</v>
      </c>
      <c r="E12" s="23">
        <f>+E5/Planificacion_HORAS!J46</f>
        <v>200.57920138888889</v>
      </c>
      <c r="F12" s="96"/>
    </row>
    <row r="13" spans="1:6" x14ac:dyDescent="0.3">
      <c r="A13" s="94"/>
      <c r="E13" s="15"/>
      <c r="F13" s="96"/>
    </row>
    <row r="14" spans="1:6" x14ac:dyDescent="0.3">
      <c r="A14" s="94"/>
      <c r="B14" s="126" t="s">
        <v>117</v>
      </c>
      <c r="C14" s="127"/>
      <c r="D14" s="18" t="s">
        <v>97</v>
      </c>
      <c r="E14" s="23">
        <f>+E5/Planificacion_HORAS!J48</f>
        <v>267.43893518518519</v>
      </c>
      <c r="F14" s="96"/>
    </row>
    <row r="15" spans="1:6" x14ac:dyDescent="0.3">
      <c r="A15" s="94"/>
      <c r="B15" s="96"/>
      <c r="C15" s="96"/>
      <c r="D15" s="96"/>
      <c r="E15" s="96"/>
      <c r="F15" s="96"/>
    </row>
    <row r="16" spans="1:6" x14ac:dyDescent="0.3">
      <c r="A16" s="94"/>
      <c r="B16" s="96"/>
      <c r="C16" s="96"/>
      <c r="D16" s="96"/>
      <c r="E16" s="96"/>
      <c r="F16" s="96"/>
    </row>
    <row r="17" spans="1:6" x14ac:dyDescent="0.3">
      <c r="A17" s="94"/>
      <c r="B17" s="94"/>
      <c r="C17" s="94"/>
      <c r="D17" s="94"/>
      <c r="E17" s="94"/>
      <c r="F17" s="94"/>
    </row>
  </sheetData>
  <mergeCells count="4">
    <mergeCell ref="B5:C5"/>
    <mergeCell ref="B9:E9"/>
    <mergeCell ref="B12:C12"/>
    <mergeCell ref="B14:C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tabSelected="1" workbookViewId="0">
      <selection activeCell="B20" sqref="B20:B21"/>
    </sheetView>
  </sheetViews>
  <sheetFormatPr baseColWidth="10" defaultColWidth="9.109375" defaultRowHeight="14.4" x14ac:dyDescent="0.3"/>
  <cols>
    <col min="1" max="1" width="44.6640625" style="5" customWidth="1"/>
    <col min="2" max="2" width="22.6640625" style="5" customWidth="1"/>
    <col min="3" max="3" width="10.44140625" style="5" customWidth="1"/>
    <col min="4" max="4" width="10.33203125" style="5" customWidth="1"/>
    <col min="5" max="5" width="10.88671875" style="5" customWidth="1"/>
    <col min="6" max="6" width="11.21875" style="5" customWidth="1"/>
    <col min="7" max="7" width="11.33203125" style="5" customWidth="1"/>
    <col min="8" max="8" width="11.77734375" style="5" customWidth="1"/>
    <col min="9" max="16384" width="9.109375" style="5"/>
  </cols>
  <sheetData>
    <row r="1" spans="1:8" x14ac:dyDescent="0.3">
      <c r="A1" s="129" t="s">
        <v>28</v>
      </c>
      <c r="B1" s="129"/>
      <c r="C1" s="129"/>
      <c r="D1" s="129"/>
      <c r="E1" s="129"/>
      <c r="F1" s="129"/>
      <c r="G1" s="129"/>
      <c r="H1" s="129"/>
    </row>
    <row r="2" spans="1:8" x14ac:dyDescent="0.3">
      <c r="A2" s="129"/>
      <c r="B2" s="129"/>
      <c r="C2" s="129"/>
      <c r="D2" s="129"/>
      <c r="E2" s="129"/>
      <c r="F2" s="129"/>
      <c r="G2" s="129"/>
      <c r="H2" s="129"/>
    </row>
    <row r="4" spans="1:8" ht="28.8" x14ac:dyDescent="0.3">
      <c r="A4" s="12" t="s">
        <v>56</v>
      </c>
      <c r="B4" s="12" t="s">
        <v>22</v>
      </c>
      <c r="C4" s="8" t="s">
        <v>27</v>
      </c>
    </row>
    <row r="5" spans="1:8" x14ac:dyDescent="0.3">
      <c r="A5" s="9" t="s">
        <v>24</v>
      </c>
      <c r="B5" s="10">
        <f>'Detalles - RH'!G19</f>
        <v>1462.5</v>
      </c>
      <c r="C5" s="11">
        <f>+B5/B8</f>
        <v>0.91142301262610825</v>
      </c>
    </row>
    <row r="6" spans="1:8" x14ac:dyDescent="0.3">
      <c r="A6" s="9" t="s">
        <v>57</v>
      </c>
      <c r="B6" s="10">
        <f>'Detalles - Equipos'!F1</f>
        <v>100.48611111111111</v>
      </c>
      <c r="C6" s="11">
        <f>+B6/B8</f>
        <v>6.2622464352800514E-2</v>
      </c>
    </row>
    <row r="7" spans="1:8" x14ac:dyDescent="0.3">
      <c r="A7" s="9" t="s">
        <v>26</v>
      </c>
      <c r="B7" s="10">
        <f>+'Detalles - Servicios'!O16</f>
        <v>41.647500000000001</v>
      </c>
      <c r="C7" s="11">
        <f>+B7/B8</f>
        <v>2.5954523021091178E-2</v>
      </c>
    </row>
    <row r="8" spans="1:8" x14ac:dyDescent="0.3">
      <c r="A8" s="125" t="s">
        <v>58</v>
      </c>
      <c r="B8" s="101">
        <f>+SUM(B5:B7)</f>
        <v>1604.6336111111111</v>
      </c>
      <c r="C8" s="6"/>
    </row>
    <row r="9" spans="1:8" x14ac:dyDescent="0.3">
      <c r="A9" s="125"/>
      <c r="B9" s="101"/>
    </row>
    <row r="11" spans="1:8" x14ac:dyDescent="0.3">
      <c r="A11" s="12" t="s">
        <v>0</v>
      </c>
      <c r="B11" s="12" t="s">
        <v>23</v>
      </c>
      <c r="C11" s="12" t="s">
        <v>49</v>
      </c>
      <c r="D11" s="12" t="s">
        <v>50</v>
      </c>
      <c r="E11" s="12" t="s">
        <v>51</v>
      </c>
      <c r="F11" s="12" t="s">
        <v>52</v>
      </c>
      <c r="G11" s="12" t="s">
        <v>53</v>
      </c>
      <c r="H11" s="12" t="s">
        <v>54</v>
      </c>
    </row>
    <row r="12" spans="1:8" x14ac:dyDescent="0.3">
      <c r="A12" s="9" t="s">
        <v>24</v>
      </c>
      <c r="B12" s="10">
        <f>'Detalles - RH'!G19</f>
        <v>1462.5</v>
      </c>
      <c r="C12" s="10">
        <f>+B12*1</f>
        <v>1462.5</v>
      </c>
      <c r="D12" s="10">
        <f>+B12*3</f>
        <v>4387.5</v>
      </c>
      <c r="E12" s="10">
        <f>+B12*6</f>
        <v>8775</v>
      </c>
      <c r="F12" s="10">
        <f>+B12*12</f>
        <v>17550</v>
      </c>
      <c r="G12" s="10">
        <f>+B12*18</f>
        <v>26325</v>
      </c>
      <c r="H12" s="10">
        <f>+B12*24</f>
        <v>35100</v>
      </c>
    </row>
    <row r="13" spans="1:8" x14ac:dyDescent="0.3">
      <c r="A13" s="9" t="s">
        <v>25</v>
      </c>
      <c r="B13" s="10">
        <f>'Detalles - Equipos'!F1</f>
        <v>100.48611111111111</v>
      </c>
      <c r="C13" s="10">
        <f t="shared" ref="C13:C14" si="0">+B13*1</f>
        <v>100.48611111111111</v>
      </c>
      <c r="D13" s="10">
        <f t="shared" ref="D13:D14" si="1">+B13*3</f>
        <v>301.45833333333337</v>
      </c>
      <c r="E13" s="10">
        <f t="shared" ref="E13:E14" si="2">+B13*6</f>
        <v>602.91666666666674</v>
      </c>
      <c r="F13" s="10">
        <f t="shared" ref="F13:F14" si="3">+B13*12</f>
        <v>1205.8333333333335</v>
      </c>
      <c r="G13" s="10">
        <f t="shared" ref="G13:G14" si="4">+B13*18</f>
        <v>1808.75</v>
      </c>
      <c r="H13" s="10">
        <f t="shared" ref="H13:H14" si="5">+B13*24</f>
        <v>2411.666666666667</v>
      </c>
    </row>
    <row r="14" spans="1:8" x14ac:dyDescent="0.3">
      <c r="A14" s="9" t="s">
        <v>26</v>
      </c>
      <c r="B14" s="10">
        <f>+'Detalles - Servicios'!O16</f>
        <v>41.647500000000001</v>
      </c>
      <c r="C14" s="10">
        <f t="shared" si="0"/>
        <v>41.647500000000001</v>
      </c>
      <c r="D14" s="10">
        <f t="shared" si="1"/>
        <v>124.9425</v>
      </c>
      <c r="E14" s="10">
        <f t="shared" si="2"/>
        <v>249.88499999999999</v>
      </c>
      <c r="F14" s="10">
        <f t="shared" si="3"/>
        <v>499.77</v>
      </c>
      <c r="G14" s="10">
        <f t="shared" si="4"/>
        <v>749.65499999999997</v>
      </c>
      <c r="H14" s="10">
        <f t="shared" si="5"/>
        <v>999.54</v>
      </c>
    </row>
    <row r="17" spans="1:2" x14ac:dyDescent="0.3">
      <c r="A17" s="28" t="s">
        <v>235</v>
      </c>
      <c r="B17" s="98">
        <f>+'Estimacion_Propuesta 2'!J67</f>
        <v>3045.5391145833323</v>
      </c>
    </row>
    <row r="18" spans="1:2" x14ac:dyDescent="0.3">
      <c r="A18" s="28" t="s">
        <v>236</v>
      </c>
      <c r="B18" s="98">
        <f>+(0.8*B17)/0.2</f>
        <v>12182.156458333329</v>
      </c>
    </row>
    <row r="19" spans="1:2" x14ac:dyDescent="0.3">
      <c r="A19" s="28" t="s">
        <v>237</v>
      </c>
      <c r="B19" s="98">
        <f>+(0.1*B17)/0.2</f>
        <v>1522.7695572916662</v>
      </c>
    </row>
    <row r="20" spans="1:2" x14ac:dyDescent="0.3">
      <c r="A20" s="130" t="s">
        <v>238</v>
      </c>
      <c r="B20" s="132">
        <f>+SUM(B17:B19)</f>
        <v>16750.465130208329</v>
      </c>
    </row>
    <row r="21" spans="1:2" x14ac:dyDescent="0.3">
      <c r="A21" s="131"/>
      <c r="B21" s="133"/>
    </row>
  </sheetData>
  <mergeCells count="5">
    <mergeCell ref="A8:A9"/>
    <mergeCell ref="B8:B9"/>
    <mergeCell ref="A1:H2"/>
    <mergeCell ref="A20:A21"/>
    <mergeCell ref="B20:B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833A-A6DE-41DC-B706-05D025373595}">
  <dimension ref="B3:Q68"/>
  <sheetViews>
    <sheetView topLeftCell="A46" workbookViewId="0">
      <selection activeCell="J67" sqref="J67"/>
    </sheetView>
  </sheetViews>
  <sheetFormatPr baseColWidth="10" defaultRowHeight="14.4" x14ac:dyDescent="0.3"/>
  <cols>
    <col min="2" max="2" width="45.6640625" style="36" customWidth="1"/>
    <col min="4" max="4" width="19.109375" hidden="1" customWidth="1"/>
    <col min="5" max="5" width="16.5546875" hidden="1" customWidth="1"/>
    <col min="6" max="6" width="0" hidden="1" customWidth="1"/>
    <col min="7" max="7" width="19.44140625" customWidth="1"/>
    <col min="8" max="8" width="37.21875" style="5" customWidth="1"/>
    <col min="10" max="10" width="14.6640625" bestFit="1" customWidth="1"/>
    <col min="11" max="11" width="15.88671875" bestFit="1" customWidth="1"/>
    <col min="15" max="15" width="24.6640625" bestFit="1" customWidth="1"/>
    <col min="16" max="16" width="20" bestFit="1" customWidth="1"/>
    <col min="17" max="17" width="13.5546875" bestFit="1" customWidth="1"/>
  </cols>
  <sheetData>
    <row r="3" spans="2:17" x14ac:dyDescent="0.3">
      <c r="B3" s="78" t="s">
        <v>59</v>
      </c>
      <c r="C3" s="80">
        <f>+C5+C12</f>
        <v>37</v>
      </c>
      <c r="D3" s="80"/>
      <c r="E3" s="80"/>
      <c r="F3" s="80"/>
      <c r="G3" s="80"/>
      <c r="H3" s="91"/>
    </row>
    <row r="4" spans="2:17" ht="26.4" x14ac:dyDescent="0.3">
      <c r="B4" s="83" t="s">
        <v>98</v>
      </c>
      <c r="C4" s="84" t="s">
        <v>205</v>
      </c>
      <c r="D4" s="84" t="s">
        <v>99</v>
      </c>
      <c r="E4" s="84" t="s">
        <v>100</v>
      </c>
      <c r="F4" s="84" t="s">
        <v>126</v>
      </c>
      <c r="G4" s="84" t="s">
        <v>127</v>
      </c>
      <c r="H4" s="84" t="s">
        <v>36</v>
      </c>
      <c r="I4" s="28" t="s">
        <v>212</v>
      </c>
      <c r="J4" s="28" t="s">
        <v>216</v>
      </c>
      <c r="K4" s="28" t="s">
        <v>217</v>
      </c>
      <c r="L4" s="28" t="s">
        <v>213</v>
      </c>
      <c r="O4" s="75" t="s">
        <v>215</v>
      </c>
      <c r="P4" s="76">
        <f>+'Detalles - Servicios'!O22</f>
        <v>0.28921875000000002</v>
      </c>
      <c r="Q4" s="70"/>
    </row>
    <row r="5" spans="2:17" x14ac:dyDescent="0.3">
      <c r="B5" s="85" t="s">
        <v>101</v>
      </c>
      <c r="C5" s="89">
        <f>+SUM(C6:C11)</f>
        <v>15</v>
      </c>
      <c r="D5" s="46" t="s">
        <v>128</v>
      </c>
      <c r="E5" s="46" t="s">
        <v>61</v>
      </c>
      <c r="F5" s="86"/>
      <c r="G5" s="86"/>
      <c r="H5" s="86"/>
      <c r="I5" s="18"/>
      <c r="J5" s="18"/>
      <c r="K5" s="18"/>
      <c r="L5" s="18"/>
      <c r="P5" s="70"/>
      <c r="Q5" s="70"/>
    </row>
    <row r="6" spans="2:17" x14ac:dyDescent="0.3">
      <c r="B6" s="87" t="s">
        <v>102</v>
      </c>
      <c r="C6" s="90">
        <v>2</v>
      </c>
      <c r="D6" s="88" t="s">
        <v>128</v>
      </c>
      <c r="E6" s="88" t="s">
        <v>128</v>
      </c>
      <c r="F6" s="86"/>
      <c r="G6" s="88" t="s">
        <v>129</v>
      </c>
      <c r="H6" s="88" t="s">
        <v>231</v>
      </c>
      <c r="I6" s="20">
        <f>+C6*($Q$11+$Q$12)</f>
        <v>56.25</v>
      </c>
      <c r="J6" s="18">
        <f>3*C6*$Q$6</f>
        <v>0.9375</v>
      </c>
      <c r="K6" s="93">
        <f>3*C6*$P$4</f>
        <v>1.7353125</v>
      </c>
      <c r="L6" s="20">
        <f>+SUM(I6:K6)</f>
        <v>58.922812499999999</v>
      </c>
      <c r="O6" s="125" t="s">
        <v>227</v>
      </c>
      <c r="P6" s="50" t="s">
        <v>219</v>
      </c>
      <c r="Q6" s="77">
        <f>+'Detalles - Equipos'!C31</f>
        <v>0.15625</v>
      </c>
    </row>
    <row r="7" spans="2:17" x14ac:dyDescent="0.3">
      <c r="B7" s="87" t="s">
        <v>103</v>
      </c>
      <c r="C7" s="88">
        <v>3</v>
      </c>
      <c r="D7" s="88" t="s">
        <v>130</v>
      </c>
      <c r="E7" s="88" t="s">
        <v>130</v>
      </c>
      <c r="F7" s="88">
        <v>3</v>
      </c>
      <c r="G7" s="88" t="s">
        <v>131</v>
      </c>
      <c r="H7" s="9" t="s">
        <v>41</v>
      </c>
      <c r="I7" s="20">
        <f>+C7*($Q$12+$Q$16+$Q$21)</f>
        <v>112.5</v>
      </c>
      <c r="J7" s="18">
        <f>3*C7*($Q$6+$Q$7+$Q$8)</f>
        <v>5.65234375</v>
      </c>
      <c r="K7" s="93">
        <f t="shared" ref="K7:K20" si="0">3*C7*$P$4</f>
        <v>2.6029687500000001</v>
      </c>
      <c r="L7" s="20">
        <f t="shared" ref="L7:L20" si="1">+SUM(I7:K7)</f>
        <v>120.7553125</v>
      </c>
      <c r="O7" s="125"/>
      <c r="P7" s="50" t="s">
        <v>220</v>
      </c>
      <c r="Q7" s="77">
        <f>+'Detalles - Equipos'!F31</f>
        <v>0.27994791666666669</v>
      </c>
    </row>
    <row r="8" spans="2:17" x14ac:dyDescent="0.3">
      <c r="B8" s="87" t="s">
        <v>104</v>
      </c>
      <c r="C8" s="88">
        <v>3</v>
      </c>
      <c r="D8" s="88" t="s">
        <v>60</v>
      </c>
      <c r="E8" s="88" t="s">
        <v>60</v>
      </c>
      <c r="F8" s="88">
        <v>3</v>
      </c>
      <c r="G8" s="88" t="s">
        <v>129</v>
      </c>
      <c r="H8" s="9" t="s">
        <v>211</v>
      </c>
      <c r="I8" s="20">
        <f>+C8*($Q$11)</f>
        <v>46.875</v>
      </c>
      <c r="J8" s="18">
        <f>3*C8*$Q$6</f>
        <v>1.40625</v>
      </c>
      <c r="K8" s="93">
        <f t="shared" si="0"/>
        <v>2.6029687500000001</v>
      </c>
      <c r="L8" s="20">
        <f t="shared" si="1"/>
        <v>50.884218750000002</v>
      </c>
      <c r="O8" s="125"/>
      <c r="P8" s="50" t="s">
        <v>221</v>
      </c>
      <c r="Q8" s="74">
        <f>+'Detalles - Equipos'!I31</f>
        <v>0.19184027777777776</v>
      </c>
    </row>
    <row r="9" spans="2:17" x14ac:dyDescent="0.3">
      <c r="B9" s="87" t="s">
        <v>105</v>
      </c>
      <c r="C9" s="88">
        <v>1</v>
      </c>
      <c r="D9" s="88" t="s">
        <v>132</v>
      </c>
      <c r="E9" s="88" t="s">
        <v>132</v>
      </c>
      <c r="F9" s="88" t="s">
        <v>133</v>
      </c>
      <c r="G9" s="88" t="s">
        <v>89</v>
      </c>
      <c r="H9" s="9" t="s">
        <v>41</v>
      </c>
      <c r="I9" s="20">
        <f>+C9*($Q$21)</f>
        <v>12.5</v>
      </c>
      <c r="J9" s="18">
        <f>3*C9*$Q$8</f>
        <v>0.57552083333333326</v>
      </c>
      <c r="K9" s="93">
        <f t="shared" si="0"/>
        <v>0.86765625000000002</v>
      </c>
      <c r="L9" s="20">
        <f t="shared" si="1"/>
        <v>13.943177083333333</v>
      </c>
    </row>
    <row r="10" spans="2:17" x14ac:dyDescent="0.3">
      <c r="B10" s="87" t="s">
        <v>106</v>
      </c>
      <c r="C10" s="88">
        <v>4</v>
      </c>
      <c r="D10" s="88" t="s">
        <v>62</v>
      </c>
      <c r="E10" s="88" t="s">
        <v>62</v>
      </c>
      <c r="F10" s="88">
        <v>6</v>
      </c>
      <c r="G10" s="88" t="s">
        <v>88</v>
      </c>
      <c r="H10" s="9" t="s">
        <v>41</v>
      </c>
      <c r="I10" s="20">
        <f>+C10*($Q$16)</f>
        <v>50</v>
      </c>
      <c r="J10" s="18">
        <f>3*C10*$Q$7</f>
        <v>3.359375</v>
      </c>
      <c r="K10" s="93">
        <f t="shared" si="0"/>
        <v>3.4706250000000001</v>
      </c>
      <c r="L10" s="20">
        <f t="shared" si="1"/>
        <v>56.83</v>
      </c>
      <c r="O10" s="2" t="s">
        <v>209</v>
      </c>
      <c r="P10" s="2" t="s">
        <v>36</v>
      </c>
      <c r="Q10" s="2" t="s">
        <v>47</v>
      </c>
    </row>
    <row r="11" spans="2:17" x14ac:dyDescent="0.3">
      <c r="B11" s="87" t="s">
        <v>107</v>
      </c>
      <c r="C11" s="88">
        <v>2</v>
      </c>
      <c r="D11" s="88" t="s">
        <v>61</v>
      </c>
      <c r="E11" s="88" t="s">
        <v>61</v>
      </c>
      <c r="F11" s="88">
        <v>7</v>
      </c>
      <c r="G11" s="88" t="s">
        <v>129</v>
      </c>
      <c r="H11" s="88" t="s">
        <v>231</v>
      </c>
      <c r="I11" s="20">
        <f>+C11*(Q11+Q12)</f>
        <v>56.25</v>
      </c>
      <c r="J11" s="18">
        <f>3*C11*$Q$6</f>
        <v>0.9375</v>
      </c>
      <c r="K11" s="93">
        <f t="shared" si="0"/>
        <v>1.7353125</v>
      </c>
      <c r="L11" s="20">
        <f t="shared" si="1"/>
        <v>58.922812499999999</v>
      </c>
      <c r="O11" s="103" t="s">
        <v>228</v>
      </c>
      <c r="P11" s="3" t="s">
        <v>211</v>
      </c>
      <c r="Q11" s="7">
        <f>+'Detalles - RH'!K5</f>
        <v>15.625</v>
      </c>
    </row>
    <row r="12" spans="2:17" x14ac:dyDescent="0.3">
      <c r="B12" s="85" t="s">
        <v>108</v>
      </c>
      <c r="C12" s="46">
        <f>+SUM(C13:C20)</f>
        <v>22</v>
      </c>
      <c r="D12" s="46" t="s">
        <v>63</v>
      </c>
      <c r="E12" s="46" t="s">
        <v>68</v>
      </c>
      <c r="F12" s="86"/>
      <c r="G12" s="86"/>
      <c r="H12" s="86"/>
      <c r="I12" s="20"/>
      <c r="J12" s="18"/>
      <c r="K12" s="93"/>
      <c r="L12" s="20"/>
      <c r="O12" s="104"/>
      <c r="P12" s="3" t="s">
        <v>41</v>
      </c>
      <c r="Q12" s="7">
        <f>+'Detalles - RH'!K6</f>
        <v>12.5</v>
      </c>
    </row>
    <row r="13" spans="2:17" x14ac:dyDescent="0.3">
      <c r="B13" s="87" t="s">
        <v>109</v>
      </c>
      <c r="C13" s="88">
        <v>2</v>
      </c>
      <c r="D13" s="88" t="s">
        <v>63</v>
      </c>
      <c r="E13" s="88" t="s">
        <v>63</v>
      </c>
      <c r="F13" s="88">
        <v>8</v>
      </c>
      <c r="G13" s="88" t="s">
        <v>129</v>
      </c>
      <c r="H13" s="88" t="s">
        <v>231</v>
      </c>
      <c r="I13" s="20">
        <f>+C13*($Q$11+$Q$12)</f>
        <v>56.25</v>
      </c>
      <c r="J13" s="18">
        <f>3*C13*$Q$6</f>
        <v>0.9375</v>
      </c>
      <c r="K13" s="93">
        <f t="shared" si="0"/>
        <v>1.7353125</v>
      </c>
      <c r="L13" s="20">
        <f t="shared" si="1"/>
        <v>58.922812499999999</v>
      </c>
      <c r="O13" s="105"/>
      <c r="P13" s="3" t="s">
        <v>210</v>
      </c>
      <c r="Q13" s="7">
        <f>+'Detalles - RH'!K7</f>
        <v>12.5</v>
      </c>
    </row>
    <row r="14" spans="2:17" x14ac:dyDescent="0.3">
      <c r="B14" s="87" t="s">
        <v>110</v>
      </c>
      <c r="C14" s="88">
        <v>1</v>
      </c>
      <c r="D14" s="88" t="s">
        <v>69</v>
      </c>
      <c r="E14" s="88" t="s">
        <v>69</v>
      </c>
      <c r="F14" s="88">
        <v>10</v>
      </c>
      <c r="G14" s="88" t="s">
        <v>129</v>
      </c>
      <c r="H14" s="9" t="s">
        <v>211</v>
      </c>
      <c r="I14" s="20">
        <f>+C14*($Q$11)</f>
        <v>15.625</v>
      </c>
      <c r="J14" s="18">
        <f>3*C14*$Q$6</f>
        <v>0.46875</v>
      </c>
      <c r="K14" s="93">
        <f t="shared" si="0"/>
        <v>0.86765625000000002</v>
      </c>
      <c r="L14" s="20">
        <f t="shared" si="1"/>
        <v>16.96140625</v>
      </c>
      <c r="O14" s="1"/>
      <c r="P14" s="1"/>
      <c r="Q14" s="1"/>
    </row>
    <row r="15" spans="2:17" x14ac:dyDescent="0.3">
      <c r="B15" s="87" t="s">
        <v>111</v>
      </c>
      <c r="C15" s="88">
        <v>3</v>
      </c>
      <c r="D15" s="88" t="s">
        <v>64</v>
      </c>
      <c r="E15" s="88" t="s">
        <v>64</v>
      </c>
      <c r="F15" s="88">
        <v>10</v>
      </c>
      <c r="G15" s="88" t="s">
        <v>134</v>
      </c>
      <c r="H15" s="9" t="s">
        <v>41</v>
      </c>
      <c r="I15" s="20">
        <f>+C15*(Q12+Q16)</f>
        <v>75</v>
      </c>
      <c r="J15" s="18">
        <f>3*C15*(Q6+Q7)</f>
        <v>3.92578125</v>
      </c>
      <c r="K15" s="93">
        <f t="shared" si="0"/>
        <v>2.6029687500000001</v>
      </c>
      <c r="L15" s="20">
        <f t="shared" si="1"/>
        <v>81.528750000000002</v>
      </c>
      <c r="O15" s="2" t="s">
        <v>209</v>
      </c>
      <c r="P15" s="2" t="s">
        <v>36</v>
      </c>
      <c r="Q15" s="2" t="s">
        <v>47</v>
      </c>
    </row>
    <row r="16" spans="2:17" x14ac:dyDescent="0.3">
      <c r="B16" s="87" t="s">
        <v>112</v>
      </c>
      <c r="C16" s="88">
        <v>2</v>
      </c>
      <c r="D16" s="88" t="s">
        <v>65</v>
      </c>
      <c r="E16" s="88" t="s">
        <v>65</v>
      </c>
      <c r="F16" s="88">
        <v>12</v>
      </c>
      <c r="G16" s="88" t="s">
        <v>88</v>
      </c>
      <c r="H16" s="9" t="s">
        <v>41</v>
      </c>
      <c r="I16" s="20">
        <f>+C16*($Q$16)</f>
        <v>25</v>
      </c>
      <c r="J16" s="18">
        <f>3*C16*$Q$7</f>
        <v>1.6796875</v>
      </c>
      <c r="K16" s="93">
        <f t="shared" si="0"/>
        <v>1.7353125</v>
      </c>
      <c r="L16" s="20">
        <f t="shared" si="1"/>
        <v>28.414999999999999</v>
      </c>
      <c r="O16" s="103" t="s">
        <v>229</v>
      </c>
      <c r="P16" s="3" t="s">
        <v>41</v>
      </c>
      <c r="Q16" s="7">
        <f>+'Detalles - RH'!K10</f>
        <v>12.5</v>
      </c>
    </row>
    <row r="17" spans="2:17" x14ac:dyDescent="0.3">
      <c r="B17" s="87" t="s">
        <v>113</v>
      </c>
      <c r="C17" s="88">
        <v>2</v>
      </c>
      <c r="D17" s="88" t="s">
        <v>135</v>
      </c>
      <c r="E17" s="88" t="s">
        <v>135</v>
      </c>
      <c r="F17" s="88" t="s">
        <v>136</v>
      </c>
      <c r="G17" s="88" t="s">
        <v>129</v>
      </c>
      <c r="H17" s="9" t="s">
        <v>41</v>
      </c>
      <c r="I17" s="20">
        <f t="shared" ref="I17:I20" si="2">+C17*(Q22+Q23)</f>
        <v>25</v>
      </c>
      <c r="J17" s="18">
        <f>3*C17*$Q$6</f>
        <v>0.9375</v>
      </c>
      <c r="K17" s="93">
        <f t="shared" si="0"/>
        <v>1.7353125</v>
      </c>
      <c r="L17" s="20">
        <f t="shared" si="1"/>
        <v>27.672812499999999</v>
      </c>
      <c r="O17" s="105"/>
      <c r="P17" s="3" t="s">
        <v>210</v>
      </c>
      <c r="Q17" s="7">
        <f>+'Detalles - RH'!K11</f>
        <v>12.5</v>
      </c>
    </row>
    <row r="18" spans="2:17" x14ac:dyDescent="0.3">
      <c r="B18" s="87" t="s">
        <v>114</v>
      </c>
      <c r="C18" s="88">
        <v>3</v>
      </c>
      <c r="D18" s="88" t="s">
        <v>66</v>
      </c>
      <c r="E18" s="88" t="s">
        <v>66</v>
      </c>
      <c r="F18" s="88">
        <v>14</v>
      </c>
      <c r="G18" s="88" t="s">
        <v>89</v>
      </c>
      <c r="H18" s="9" t="s">
        <v>41</v>
      </c>
      <c r="I18" s="20">
        <f>+C18*($Q$21)</f>
        <v>37.5</v>
      </c>
      <c r="J18" s="18">
        <f>3*C18*$Q$8</f>
        <v>1.7265624999999998</v>
      </c>
      <c r="K18" s="93">
        <f t="shared" si="0"/>
        <v>2.6029687500000001</v>
      </c>
      <c r="L18" s="20">
        <f t="shared" si="1"/>
        <v>41.829531250000002</v>
      </c>
      <c r="O18" s="1"/>
      <c r="P18" s="1"/>
      <c r="Q18" s="1"/>
    </row>
    <row r="19" spans="2:17" x14ac:dyDescent="0.3">
      <c r="B19" s="87" t="s">
        <v>115</v>
      </c>
      <c r="C19" s="88">
        <v>6</v>
      </c>
      <c r="D19" s="88" t="s">
        <v>67</v>
      </c>
      <c r="E19" s="88" t="s">
        <v>67</v>
      </c>
      <c r="F19" s="88">
        <v>15</v>
      </c>
      <c r="G19" s="88" t="s">
        <v>131</v>
      </c>
      <c r="H19" s="9" t="s">
        <v>41</v>
      </c>
      <c r="I19" s="20">
        <f>+C19*($Q$12+$Q$16+$Q$21)</f>
        <v>225</v>
      </c>
      <c r="J19" s="18">
        <f>3*C19*($Q$6+$Q$7+$Q$8)</f>
        <v>11.3046875</v>
      </c>
      <c r="K19" s="93">
        <f t="shared" si="0"/>
        <v>5.2059375000000001</v>
      </c>
      <c r="L19" s="20">
        <f t="shared" si="1"/>
        <v>241.510625</v>
      </c>
      <c r="O19" s="1"/>
      <c r="P19" s="1"/>
      <c r="Q19" s="1"/>
    </row>
    <row r="20" spans="2:17" x14ac:dyDescent="0.3">
      <c r="B20" s="87" t="s">
        <v>137</v>
      </c>
      <c r="C20" s="88">
        <v>3</v>
      </c>
      <c r="D20" s="88" t="s">
        <v>68</v>
      </c>
      <c r="E20" s="88" t="s">
        <v>68</v>
      </c>
      <c r="F20" s="88">
        <v>16</v>
      </c>
      <c r="G20" s="88" t="s">
        <v>131</v>
      </c>
      <c r="H20" s="88" t="s">
        <v>231</v>
      </c>
      <c r="I20" s="20">
        <f t="shared" si="2"/>
        <v>0</v>
      </c>
      <c r="J20" s="18">
        <f>3*C20*($Q$6+$Q$7+$Q$8)</f>
        <v>5.65234375</v>
      </c>
      <c r="K20" s="93">
        <f t="shared" si="0"/>
        <v>2.6029687500000001</v>
      </c>
      <c r="L20" s="20">
        <f t="shared" si="1"/>
        <v>8.2553125000000005</v>
      </c>
      <c r="O20" s="2" t="s">
        <v>209</v>
      </c>
      <c r="P20" s="2" t="s">
        <v>36</v>
      </c>
      <c r="Q20" s="2" t="s">
        <v>47</v>
      </c>
    </row>
    <row r="21" spans="2:17" x14ac:dyDescent="0.3">
      <c r="B21" s="81"/>
      <c r="C21" s="82"/>
      <c r="D21" s="82"/>
      <c r="E21" s="82"/>
      <c r="F21" s="82"/>
      <c r="G21" s="82"/>
      <c r="H21" s="92"/>
      <c r="O21" s="103" t="s">
        <v>230</v>
      </c>
      <c r="P21" s="3" t="s">
        <v>41</v>
      </c>
      <c r="Q21" s="7">
        <f>+'Detalles - RH'!K15</f>
        <v>12.5</v>
      </c>
    </row>
    <row r="22" spans="2:17" x14ac:dyDescent="0.3">
      <c r="B22" s="78" t="s">
        <v>138</v>
      </c>
      <c r="C22" s="79">
        <f>+C24+C30+C36</f>
        <v>38</v>
      </c>
      <c r="D22" s="79" t="s">
        <v>139</v>
      </c>
      <c r="E22" s="79" t="s">
        <v>72</v>
      </c>
      <c r="F22" s="80"/>
      <c r="G22" s="80"/>
      <c r="H22" s="91"/>
      <c r="O22" s="105"/>
      <c r="P22" s="3" t="s">
        <v>210</v>
      </c>
      <c r="Q22" s="7">
        <f>+'Detalles - RH'!K16</f>
        <v>12.5</v>
      </c>
    </row>
    <row r="23" spans="2:17" ht="26.4" x14ac:dyDescent="0.3">
      <c r="B23" s="83" t="s">
        <v>98</v>
      </c>
      <c r="C23" s="84" t="s">
        <v>205</v>
      </c>
      <c r="D23" s="84" t="s">
        <v>99</v>
      </c>
      <c r="E23" s="84" t="s">
        <v>100</v>
      </c>
      <c r="F23" s="84" t="s">
        <v>126</v>
      </c>
      <c r="G23" s="84" t="s">
        <v>127</v>
      </c>
      <c r="H23" s="84" t="s">
        <v>36</v>
      </c>
      <c r="I23" s="28" t="s">
        <v>212</v>
      </c>
      <c r="J23" s="28" t="s">
        <v>216</v>
      </c>
      <c r="K23" s="28" t="s">
        <v>217</v>
      </c>
      <c r="L23" s="28" t="s">
        <v>213</v>
      </c>
    </row>
    <row r="24" spans="2:17" x14ac:dyDescent="0.3">
      <c r="B24" s="85" t="s">
        <v>140</v>
      </c>
      <c r="C24" s="46">
        <f>+SUM(C25:C29)</f>
        <v>16</v>
      </c>
      <c r="D24" s="46" t="s">
        <v>139</v>
      </c>
      <c r="E24" s="46" t="s">
        <v>141</v>
      </c>
      <c r="F24" s="86"/>
      <c r="G24" s="86"/>
      <c r="H24" s="86"/>
      <c r="I24" s="18"/>
      <c r="J24" s="18"/>
      <c r="K24" s="18"/>
      <c r="L24" s="18"/>
    </row>
    <row r="25" spans="2:17" x14ac:dyDescent="0.3">
      <c r="B25" s="87" t="s">
        <v>142</v>
      </c>
      <c r="C25" s="88">
        <v>2</v>
      </c>
      <c r="D25" s="88" t="s">
        <v>139</v>
      </c>
      <c r="E25" s="88" t="s">
        <v>139</v>
      </c>
      <c r="F25" s="88">
        <v>17</v>
      </c>
      <c r="G25" s="88" t="s">
        <v>131</v>
      </c>
      <c r="H25" s="9" t="s">
        <v>41</v>
      </c>
      <c r="I25" s="20">
        <f>+C25*($Q$12+$Q$16+$Q$21)</f>
        <v>75</v>
      </c>
      <c r="J25" s="18">
        <f>3*C25*($Q$6+$Q$7+$Q$8)</f>
        <v>3.7682291666666665</v>
      </c>
      <c r="K25" s="93">
        <f>3*C25*$P$4</f>
        <v>1.7353125</v>
      </c>
      <c r="L25" s="20">
        <f>+SUM(I25:K25)</f>
        <v>80.503541666666678</v>
      </c>
    </row>
    <row r="26" spans="2:17" x14ac:dyDescent="0.3">
      <c r="B26" s="87" t="s">
        <v>143</v>
      </c>
      <c r="C26" s="88">
        <v>4</v>
      </c>
      <c r="D26" s="88" t="s">
        <v>144</v>
      </c>
      <c r="E26" s="88" t="s">
        <v>144</v>
      </c>
      <c r="F26" s="88">
        <v>20</v>
      </c>
      <c r="G26" s="88" t="s">
        <v>131</v>
      </c>
      <c r="H26" s="9" t="s">
        <v>41</v>
      </c>
      <c r="I26" s="20">
        <f>+C26*($Q$12+$Q$16+$Q$21)</f>
        <v>150</v>
      </c>
      <c r="J26" s="18">
        <f t="shared" ref="J26:J29" si="3">3*C26*($Q$6+$Q$7+$Q$8)</f>
        <v>7.536458333333333</v>
      </c>
      <c r="K26" s="93">
        <f t="shared" ref="K26:K40" si="4">3*C26*$P$4</f>
        <v>3.4706250000000001</v>
      </c>
      <c r="L26" s="20">
        <f t="shared" ref="L26:L40" si="5">+SUM(I26:K26)</f>
        <v>161.00708333333336</v>
      </c>
    </row>
    <row r="27" spans="2:17" x14ac:dyDescent="0.3">
      <c r="B27" s="87" t="s">
        <v>145</v>
      </c>
      <c r="C27" s="88">
        <v>4</v>
      </c>
      <c r="D27" s="88" t="s">
        <v>146</v>
      </c>
      <c r="E27" s="88" t="s">
        <v>146</v>
      </c>
      <c r="F27" s="88">
        <v>21</v>
      </c>
      <c r="G27" s="88" t="s">
        <v>131</v>
      </c>
      <c r="H27" s="9" t="s">
        <v>41</v>
      </c>
      <c r="I27" s="20">
        <f>+C27*($Q$12+$Q$16+$Q$21)</f>
        <v>150</v>
      </c>
      <c r="J27" s="18">
        <f t="shared" si="3"/>
        <v>7.536458333333333</v>
      </c>
      <c r="K27" s="93">
        <f t="shared" si="4"/>
        <v>3.4706250000000001</v>
      </c>
      <c r="L27" s="20">
        <f t="shared" si="5"/>
        <v>161.00708333333336</v>
      </c>
    </row>
    <row r="28" spans="2:17" x14ac:dyDescent="0.3">
      <c r="B28" s="87" t="s">
        <v>147</v>
      </c>
      <c r="C28" s="88">
        <v>4</v>
      </c>
      <c r="D28" s="88" t="s">
        <v>148</v>
      </c>
      <c r="E28" s="88" t="s">
        <v>148</v>
      </c>
      <c r="F28" s="88">
        <v>22</v>
      </c>
      <c r="G28" s="88" t="s">
        <v>129</v>
      </c>
      <c r="H28" s="9" t="s">
        <v>232</v>
      </c>
      <c r="I28" s="20">
        <f>+C28*(Q11+Q13)</f>
        <v>112.5</v>
      </c>
      <c r="J28" s="18">
        <f>3*C28*$Q$6</f>
        <v>1.875</v>
      </c>
      <c r="K28" s="93">
        <f t="shared" si="4"/>
        <v>3.4706250000000001</v>
      </c>
      <c r="L28" s="20">
        <f t="shared" si="5"/>
        <v>117.845625</v>
      </c>
    </row>
    <row r="29" spans="2:17" x14ac:dyDescent="0.3">
      <c r="B29" s="87" t="s">
        <v>149</v>
      </c>
      <c r="C29" s="88">
        <v>2</v>
      </c>
      <c r="D29" s="88" t="s">
        <v>141</v>
      </c>
      <c r="E29" s="88" t="s">
        <v>141</v>
      </c>
      <c r="F29" s="88">
        <v>23</v>
      </c>
      <c r="G29" s="88" t="s">
        <v>131</v>
      </c>
      <c r="H29" s="88" t="s">
        <v>231</v>
      </c>
      <c r="I29" s="20">
        <f>+C29*($Q$11+$Q$12+$Q$16+$Q$21)</f>
        <v>106.25</v>
      </c>
      <c r="J29" s="18">
        <f t="shared" si="3"/>
        <v>3.7682291666666665</v>
      </c>
      <c r="K29" s="93">
        <f t="shared" si="4"/>
        <v>1.7353125</v>
      </c>
      <c r="L29" s="20">
        <f t="shared" si="5"/>
        <v>111.75354166666668</v>
      </c>
    </row>
    <row r="30" spans="2:17" x14ac:dyDescent="0.3">
      <c r="B30" s="85" t="s">
        <v>150</v>
      </c>
      <c r="C30" s="46">
        <f>+SUM(C31:C35)</f>
        <v>14</v>
      </c>
      <c r="D30" s="46" t="s">
        <v>144</v>
      </c>
      <c r="E30" s="46" t="s">
        <v>141</v>
      </c>
      <c r="F30" s="86"/>
      <c r="G30" s="86"/>
      <c r="H30" s="86"/>
      <c r="I30" s="18"/>
      <c r="J30" s="18"/>
      <c r="K30" s="93"/>
      <c r="L30" s="20"/>
    </row>
    <row r="31" spans="2:17" x14ac:dyDescent="0.3">
      <c r="B31" s="87" t="s">
        <v>151</v>
      </c>
      <c r="C31" s="88">
        <v>2</v>
      </c>
      <c r="D31" s="88" t="s">
        <v>144</v>
      </c>
      <c r="E31" s="88" t="s">
        <v>144</v>
      </c>
      <c r="F31" s="88">
        <v>24</v>
      </c>
      <c r="G31" s="88" t="s">
        <v>88</v>
      </c>
      <c r="H31" s="9" t="s">
        <v>41</v>
      </c>
      <c r="I31" s="20">
        <f t="shared" ref="I31:I34" si="6">+C31*($Q$16)</f>
        <v>25</v>
      </c>
      <c r="J31" s="18">
        <f>3*C31*$Q$7</f>
        <v>1.6796875</v>
      </c>
      <c r="K31" s="93">
        <f t="shared" si="4"/>
        <v>1.7353125</v>
      </c>
      <c r="L31" s="20">
        <f t="shared" si="5"/>
        <v>28.414999999999999</v>
      </c>
    </row>
    <row r="32" spans="2:17" x14ac:dyDescent="0.3">
      <c r="B32" s="87" t="s">
        <v>152</v>
      </c>
      <c r="C32" s="88">
        <v>4</v>
      </c>
      <c r="D32" s="88" t="s">
        <v>146</v>
      </c>
      <c r="E32" s="88" t="s">
        <v>146</v>
      </c>
      <c r="F32" s="88">
        <v>26</v>
      </c>
      <c r="G32" s="88" t="s">
        <v>88</v>
      </c>
      <c r="H32" s="9" t="s">
        <v>41</v>
      </c>
      <c r="I32" s="20">
        <f t="shared" si="6"/>
        <v>50</v>
      </c>
      <c r="J32" s="18">
        <f t="shared" ref="J32:J34" si="7">3*C32*$Q$7</f>
        <v>3.359375</v>
      </c>
      <c r="K32" s="93">
        <f t="shared" si="4"/>
        <v>3.4706250000000001</v>
      </c>
      <c r="L32" s="20">
        <f t="shared" si="5"/>
        <v>56.83</v>
      </c>
    </row>
    <row r="33" spans="2:12" x14ac:dyDescent="0.3">
      <c r="B33" s="87" t="s">
        <v>153</v>
      </c>
      <c r="C33" s="88">
        <v>4</v>
      </c>
      <c r="D33" s="88" t="s">
        <v>148</v>
      </c>
      <c r="E33" s="88" t="s">
        <v>148</v>
      </c>
      <c r="F33" s="88">
        <v>27</v>
      </c>
      <c r="G33" s="88" t="s">
        <v>88</v>
      </c>
      <c r="H33" s="9" t="s">
        <v>41</v>
      </c>
      <c r="I33" s="20">
        <f t="shared" si="6"/>
        <v>50</v>
      </c>
      <c r="J33" s="18">
        <f t="shared" si="7"/>
        <v>3.359375</v>
      </c>
      <c r="K33" s="93">
        <f t="shared" si="4"/>
        <v>3.4706250000000001</v>
      </c>
      <c r="L33" s="20">
        <f t="shared" si="5"/>
        <v>56.83</v>
      </c>
    </row>
    <row r="34" spans="2:12" x14ac:dyDescent="0.3">
      <c r="B34" s="35" t="s">
        <v>155</v>
      </c>
      <c r="C34" s="32">
        <v>2</v>
      </c>
      <c r="D34" s="32" t="s">
        <v>156</v>
      </c>
      <c r="E34" s="32" t="s">
        <v>156</v>
      </c>
      <c r="F34" s="32">
        <v>29</v>
      </c>
      <c r="G34" s="32" t="s">
        <v>88</v>
      </c>
      <c r="H34" s="9" t="s">
        <v>41</v>
      </c>
      <c r="I34" s="20">
        <f t="shared" si="6"/>
        <v>25</v>
      </c>
      <c r="J34" s="18">
        <f t="shared" si="7"/>
        <v>1.6796875</v>
      </c>
      <c r="K34" s="93">
        <f t="shared" si="4"/>
        <v>1.7353125</v>
      </c>
      <c r="L34" s="20">
        <f t="shared" si="5"/>
        <v>28.414999999999999</v>
      </c>
    </row>
    <row r="35" spans="2:12" x14ac:dyDescent="0.3">
      <c r="B35" s="87" t="s">
        <v>157</v>
      </c>
      <c r="C35" s="88">
        <v>2</v>
      </c>
      <c r="D35" s="88" t="s">
        <v>141</v>
      </c>
      <c r="E35" s="88" t="s">
        <v>141</v>
      </c>
      <c r="F35" s="88">
        <v>30</v>
      </c>
      <c r="G35" s="88" t="s">
        <v>131</v>
      </c>
      <c r="H35" s="88" t="s">
        <v>231</v>
      </c>
      <c r="I35" s="20">
        <f>+C35*($Q$11+$Q$12+$Q$16+$Q$21)</f>
        <v>106.25</v>
      </c>
      <c r="J35" s="18">
        <f t="shared" ref="J35" si="8">3*C35*($Q$6+$Q$7+$Q$8)</f>
        <v>3.7682291666666665</v>
      </c>
      <c r="K35" s="93">
        <f t="shared" si="4"/>
        <v>1.7353125</v>
      </c>
      <c r="L35" s="20">
        <f t="shared" si="5"/>
        <v>111.75354166666668</v>
      </c>
    </row>
    <row r="36" spans="2:12" x14ac:dyDescent="0.3">
      <c r="B36" s="85" t="s">
        <v>158</v>
      </c>
      <c r="C36" s="46">
        <f>+SUM(C37:C40)</f>
        <v>8</v>
      </c>
      <c r="D36" s="46" t="s">
        <v>70</v>
      </c>
      <c r="E36" s="46" t="s">
        <v>72</v>
      </c>
      <c r="F36" s="86"/>
      <c r="G36" s="86"/>
      <c r="H36" s="86"/>
      <c r="I36" s="18"/>
      <c r="J36" s="18"/>
      <c r="K36" s="93"/>
      <c r="L36" s="20"/>
    </row>
    <row r="37" spans="2:12" x14ac:dyDescent="0.3">
      <c r="B37" s="87" t="s">
        <v>159</v>
      </c>
      <c r="C37" s="88">
        <v>2</v>
      </c>
      <c r="D37" s="88" t="s">
        <v>70</v>
      </c>
      <c r="E37" s="88" t="s">
        <v>70</v>
      </c>
      <c r="F37" s="88">
        <v>31</v>
      </c>
      <c r="G37" s="88" t="s">
        <v>129</v>
      </c>
      <c r="H37" s="9" t="s">
        <v>41</v>
      </c>
      <c r="I37" s="20">
        <f>+C37*$Q$11</f>
        <v>31.25</v>
      </c>
      <c r="J37" s="18">
        <f>3*C37*$Q$6</f>
        <v>0.9375</v>
      </c>
      <c r="K37" s="93">
        <f t="shared" si="4"/>
        <v>1.7353125</v>
      </c>
      <c r="L37" s="20">
        <f t="shared" si="5"/>
        <v>33.922812499999999</v>
      </c>
    </row>
    <row r="38" spans="2:12" x14ac:dyDescent="0.3">
      <c r="B38" s="87" t="s">
        <v>160</v>
      </c>
      <c r="C38" s="88">
        <v>3</v>
      </c>
      <c r="D38" s="88" t="s">
        <v>161</v>
      </c>
      <c r="E38" s="88" t="s">
        <v>161</v>
      </c>
      <c r="F38" s="88">
        <v>33</v>
      </c>
      <c r="G38" s="88" t="s">
        <v>129</v>
      </c>
      <c r="H38" s="9" t="s">
        <v>41</v>
      </c>
      <c r="I38" s="20">
        <f t="shared" ref="I38:I39" si="9">+C38*$Q$11</f>
        <v>46.875</v>
      </c>
      <c r="J38" s="18">
        <f t="shared" ref="J38:J39" si="10">3*C38*$Q$6</f>
        <v>1.40625</v>
      </c>
      <c r="K38" s="93">
        <f t="shared" si="4"/>
        <v>2.6029687500000001</v>
      </c>
      <c r="L38" s="20">
        <f t="shared" si="5"/>
        <v>50.884218750000002</v>
      </c>
    </row>
    <row r="39" spans="2:12" x14ac:dyDescent="0.3">
      <c r="B39" s="87" t="s">
        <v>162</v>
      </c>
      <c r="C39" s="88">
        <v>2</v>
      </c>
      <c r="D39" s="88" t="s">
        <v>72</v>
      </c>
      <c r="E39" s="88" t="s">
        <v>72</v>
      </c>
      <c r="F39" s="88">
        <v>34</v>
      </c>
      <c r="G39" s="88" t="s">
        <v>129</v>
      </c>
      <c r="H39" s="9" t="s">
        <v>41</v>
      </c>
      <c r="I39" s="20">
        <f t="shared" si="9"/>
        <v>31.25</v>
      </c>
      <c r="J39" s="18">
        <f t="shared" si="10"/>
        <v>0.9375</v>
      </c>
      <c r="K39" s="93">
        <f t="shared" si="4"/>
        <v>1.7353125</v>
      </c>
      <c r="L39" s="20">
        <f t="shared" si="5"/>
        <v>33.922812499999999</v>
      </c>
    </row>
    <row r="40" spans="2:12" x14ac:dyDescent="0.3">
      <c r="B40" s="87" t="s">
        <v>163</v>
      </c>
      <c r="C40" s="88">
        <v>1</v>
      </c>
      <c r="D40" s="88" t="s">
        <v>72</v>
      </c>
      <c r="E40" s="88" t="s">
        <v>72</v>
      </c>
      <c r="F40" s="88">
        <v>35</v>
      </c>
      <c r="G40" s="88" t="s">
        <v>131</v>
      </c>
      <c r="H40" s="88" t="s">
        <v>231</v>
      </c>
      <c r="I40" s="20">
        <f>+C40*($Q$11+$Q$12+$Q$16+$Q$21)</f>
        <v>53.125</v>
      </c>
      <c r="J40" s="18">
        <f t="shared" ref="J40" si="11">3*C40*($Q$6+$Q$7+$Q$8)</f>
        <v>1.8841145833333333</v>
      </c>
      <c r="K40" s="93">
        <f t="shared" si="4"/>
        <v>0.86765625000000002</v>
      </c>
      <c r="L40" s="20">
        <f t="shared" si="5"/>
        <v>55.876770833333339</v>
      </c>
    </row>
    <row r="41" spans="2:12" x14ac:dyDescent="0.3">
      <c r="B41" s="81"/>
      <c r="C41" s="82"/>
      <c r="D41" s="82"/>
      <c r="E41" s="82"/>
      <c r="F41" s="82"/>
      <c r="G41" s="82"/>
      <c r="H41" s="92"/>
    </row>
    <row r="42" spans="2:12" x14ac:dyDescent="0.3">
      <c r="B42" s="78" t="s">
        <v>164</v>
      </c>
      <c r="C42" s="79">
        <f>+C44</f>
        <v>17</v>
      </c>
      <c r="D42" s="79" t="s">
        <v>165</v>
      </c>
      <c r="E42" s="79" t="s">
        <v>166</v>
      </c>
      <c r="F42" s="80"/>
      <c r="G42" s="80"/>
      <c r="H42" s="91"/>
    </row>
    <row r="43" spans="2:12" ht="26.4" x14ac:dyDescent="0.3">
      <c r="B43" s="83" t="s">
        <v>98</v>
      </c>
      <c r="C43" s="84" t="s">
        <v>205</v>
      </c>
      <c r="D43" s="84" t="s">
        <v>99</v>
      </c>
      <c r="E43" s="84" t="s">
        <v>100</v>
      </c>
      <c r="F43" s="84" t="s">
        <v>126</v>
      </c>
      <c r="G43" s="84" t="s">
        <v>127</v>
      </c>
      <c r="H43" s="84" t="s">
        <v>36</v>
      </c>
      <c r="I43" s="28" t="s">
        <v>212</v>
      </c>
      <c r="J43" s="28" t="s">
        <v>216</v>
      </c>
      <c r="K43" s="28" t="s">
        <v>217</v>
      </c>
      <c r="L43" s="28" t="s">
        <v>213</v>
      </c>
    </row>
    <row r="44" spans="2:12" x14ac:dyDescent="0.3">
      <c r="B44" s="85" t="s">
        <v>73</v>
      </c>
      <c r="C44" s="46">
        <f>+SUM(C45:C48)</f>
        <v>17</v>
      </c>
      <c r="D44" s="46" t="s">
        <v>165</v>
      </c>
      <c r="E44" s="46" t="s">
        <v>167</v>
      </c>
      <c r="F44" s="86"/>
      <c r="G44" s="86"/>
      <c r="H44" s="86"/>
      <c r="I44" s="18"/>
      <c r="J44" s="18"/>
      <c r="K44" s="18"/>
      <c r="L44" s="18"/>
    </row>
    <row r="45" spans="2:12" x14ac:dyDescent="0.3">
      <c r="B45" s="35" t="s">
        <v>174</v>
      </c>
      <c r="C45" s="32">
        <v>3</v>
      </c>
      <c r="D45" s="88" t="s">
        <v>165</v>
      </c>
      <c r="E45" s="88" t="s">
        <v>165</v>
      </c>
      <c r="F45" s="88">
        <v>36</v>
      </c>
      <c r="G45" s="32" t="s">
        <v>131</v>
      </c>
      <c r="H45" s="88" t="s">
        <v>231</v>
      </c>
      <c r="I45" s="20">
        <f>+C45*($Q$21)</f>
        <v>37.5</v>
      </c>
      <c r="J45" s="18">
        <f>3*C45*$Q$8</f>
        <v>1.7265624999999998</v>
      </c>
      <c r="K45" s="93">
        <f t="shared" ref="K45:K48" si="12">3*C45*$P$4</f>
        <v>2.6029687500000001</v>
      </c>
      <c r="L45" s="20">
        <f>+SUM(I45:K45)</f>
        <v>41.829531250000002</v>
      </c>
    </row>
    <row r="46" spans="2:12" x14ac:dyDescent="0.3">
      <c r="B46" s="35" t="s">
        <v>175</v>
      </c>
      <c r="C46" s="32">
        <v>4</v>
      </c>
      <c r="D46" s="88" t="s">
        <v>165</v>
      </c>
      <c r="E46" s="88" t="s">
        <v>165</v>
      </c>
      <c r="F46" s="88">
        <v>39</v>
      </c>
      <c r="G46" s="32" t="s">
        <v>88</v>
      </c>
      <c r="H46" s="9" t="s">
        <v>41</v>
      </c>
      <c r="I46" s="20">
        <f>+C46*($Q$21)</f>
        <v>50</v>
      </c>
      <c r="J46" s="18">
        <f t="shared" ref="J46:J48" si="13">3*C46*$Q$8</f>
        <v>2.302083333333333</v>
      </c>
      <c r="K46" s="93">
        <f t="shared" si="12"/>
        <v>3.4706250000000001</v>
      </c>
      <c r="L46" s="20">
        <f t="shared" ref="L46:L48" si="14">+SUM(I46:K46)</f>
        <v>55.772708333333334</v>
      </c>
    </row>
    <row r="47" spans="2:12" x14ac:dyDescent="0.3">
      <c r="B47" s="35" t="s">
        <v>176</v>
      </c>
      <c r="C47" s="32">
        <v>4</v>
      </c>
      <c r="D47" s="88" t="s">
        <v>167</v>
      </c>
      <c r="E47" s="88" t="s">
        <v>167</v>
      </c>
      <c r="F47" s="88">
        <v>40</v>
      </c>
      <c r="G47" s="32" t="s">
        <v>88</v>
      </c>
      <c r="H47" s="9" t="s">
        <v>41</v>
      </c>
      <c r="I47" s="20">
        <f>+C47*($Q$21)</f>
        <v>50</v>
      </c>
      <c r="J47" s="18">
        <f t="shared" si="13"/>
        <v>2.302083333333333</v>
      </c>
      <c r="K47" s="93">
        <f t="shared" si="12"/>
        <v>3.4706250000000001</v>
      </c>
      <c r="L47" s="20">
        <f t="shared" si="14"/>
        <v>55.772708333333334</v>
      </c>
    </row>
    <row r="48" spans="2:12" x14ac:dyDescent="0.3">
      <c r="B48" s="35" t="s">
        <v>177</v>
      </c>
      <c r="C48" s="32">
        <v>6</v>
      </c>
      <c r="D48" s="88" t="s">
        <v>167</v>
      </c>
      <c r="E48" s="88" t="s">
        <v>172</v>
      </c>
      <c r="F48" s="88">
        <v>41</v>
      </c>
      <c r="G48" s="32" t="s">
        <v>129</v>
      </c>
      <c r="H48" s="88" t="s">
        <v>231</v>
      </c>
      <c r="I48" s="20">
        <f>+C48*($Q$21)</f>
        <v>75</v>
      </c>
      <c r="J48" s="18">
        <f t="shared" si="13"/>
        <v>3.4531249999999996</v>
      </c>
      <c r="K48" s="93">
        <f t="shared" si="12"/>
        <v>5.2059375000000001</v>
      </c>
      <c r="L48" s="20">
        <f t="shared" si="14"/>
        <v>83.659062500000005</v>
      </c>
    </row>
    <row r="49" spans="2:12" x14ac:dyDescent="0.3">
      <c r="B49" s="81"/>
      <c r="C49" s="82"/>
      <c r="D49" s="82"/>
      <c r="E49" s="82"/>
      <c r="F49" s="82"/>
      <c r="G49" s="82"/>
      <c r="H49" s="92"/>
    </row>
    <row r="50" spans="2:12" x14ac:dyDescent="0.3">
      <c r="B50" s="78" t="s">
        <v>178</v>
      </c>
      <c r="C50" s="79">
        <f>+C52</f>
        <v>6</v>
      </c>
      <c r="D50" s="79" t="s">
        <v>172</v>
      </c>
      <c r="E50" s="79" t="s">
        <v>179</v>
      </c>
      <c r="F50" s="80"/>
      <c r="G50" s="80"/>
      <c r="H50" s="91"/>
    </row>
    <row r="51" spans="2:12" ht="26.4" x14ac:dyDescent="0.3">
      <c r="B51" s="83" t="s">
        <v>98</v>
      </c>
      <c r="C51" s="84" t="s">
        <v>205</v>
      </c>
      <c r="D51" s="84" t="s">
        <v>99</v>
      </c>
      <c r="E51" s="84" t="s">
        <v>100</v>
      </c>
      <c r="F51" s="84" t="s">
        <v>126</v>
      </c>
      <c r="G51" s="84" t="s">
        <v>127</v>
      </c>
      <c r="H51" s="84" t="s">
        <v>36</v>
      </c>
      <c r="I51" s="28" t="s">
        <v>212</v>
      </c>
      <c r="J51" s="28" t="s">
        <v>216</v>
      </c>
      <c r="K51" s="28" t="s">
        <v>217</v>
      </c>
      <c r="L51" s="28" t="s">
        <v>213</v>
      </c>
    </row>
    <row r="52" spans="2:12" x14ac:dyDescent="0.3">
      <c r="B52" s="34" t="s">
        <v>188</v>
      </c>
      <c r="C52" s="30">
        <f>+SUM(C53:C55)</f>
        <v>6</v>
      </c>
      <c r="D52" s="30" t="s">
        <v>189</v>
      </c>
      <c r="E52" s="30" t="s">
        <v>179</v>
      </c>
      <c r="F52" s="31"/>
      <c r="G52" s="31"/>
      <c r="H52" s="86"/>
      <c r="I52" s="18"/>
      <c r="J52" s="18"/>
      <c r="K52" s="18"/>
      <c r="L52" s="18"/>
    </row>
    <row r="53" spans="2:12" x14ac:dyDescent="0.3">
      <c r="B53" s="35" t="s">
        <v>190</v>
      </c>
      <c r="C53" s="32">
        <v>3</v>
      </c>
      <c r="D53" s="32" t="s">
        <v>189</v>
      </c>
      <c r="E53" s="32" t="s">
        <v>189</v>
      </c>
      <c r="F53" s="32">
        <v>53</v>
      </c>
      <c r="G53" s="32" t="s">
        <v>131</v>
      </c>
      <c r="H53" s="9" t="s">
        <v>41</v>
      </c>
      <c r="I53" s="20">
        <f>+C53*($Q$12+$Q$16+$Q$21)</f>
        <v>112.5</v>
      </c>
      <c r="J53" s="18">
        <f t="shared" ref="J53:J54" si="15">3*C53*($Q$6+$Q$7+$Q$8)</f>
        <v>5.65234375</v>
      </c>
      <c r="K53" s="93">
        <f t="shared" ref="K53:K55" si="16">3*C53*$P$4</f>
        <v>2.6029687500000001</v>
      </c>
      <c r="L53" s="20">
        <f>+SUM(I53:K53)</f>
        <v>120.7553125</v>
      </c>
    </row>
    <row r="54" spans="2:12" x14ac:dyDescent="0.3">
      <c r="B54" s="35" t="s">
        <v>185</v>
      </c>
      <c r="C54" s="32">
        <v>2</v>
      </c>
      <c r="D54" s="32" t="s">
        <v>191</v>
      </c>
      <c r="E54" s="32" t="s">
        <v>191</v>
      </c>
      <c r="F54" s="32">
        <v>55</v>
      </c>
      <c r="G54" s="32" t="s">
        <v>131</v>
      </c>
      <c r="H54" s="9" t="s">
        <v>232</v>
      </c>
      <c r="I54" s="20">
        <f>+C54*(Q12+Q13+Q16+Q17+Q21+Q22)</f>
        <v>150</v>
      </c>
      <c r="J54" s="18">
        <f t="shared" si="15"/>
        <v>3.7682291666666665</v>
      </c>
      <c r="K54" s="93">
        <f t="shared" si="16"/>
        <v>1.7353125</v>
      </c>
      <c r="L54" s="20">
        <f t="shared" ref="L54:L55" si="17">+SUM(I54:K54)</f>
        <v>155.50354166666665</v>
      </c>
    </row>
    <row r="55" spans="2:12" x14ac:dyDescent="0.3">
      <c r="B55" s="35" t="s">
        <v>192</v>
      </c>
      <c r="C55" s="32">
        <v>1</v>
      </c>
      <c r="D55" s="32" t="s">
        <v>179</v>
      </c>
      <c r="E55" s="32" t="s">
        <v>179</v>
      </c>
      <c r="F55" s="32">
        <v>56</v>
      </c>
      <c r="G55" s="32" t="s">
        <v>129</v>
      </c>
      <c r="H55" s="88" t="s">
        <v>231</v>
      </c>
      <c r="I55" s="20">
        <f>+C55*($Q$21)</f>
        <v>12.5</v>
      </c>
      <c r="J55" s="18">
        <f>3*C55*$Q$8</f>
        <v>0.57552083333333326</v>
      </c>
      <c r="K55" s="93">
        <f t="shared" si="16"/>
        <v>0.86765625000000002</v>
      </c>
      <c r="L55" s="20">
        <f t="shared" si="17"/>
        <v>13.943177083333333</v>
      </c>
    </row>
    <row r="56" spans="2:12" x14ac:dyDescent="0.3">
      <c r="B56" s="81"/>
      <c r="C56" s="82"/>
      <c r="D56" s="82"/>
      <c r="E56" s="82"/>
      <c r="F56" s="82"/>
      <c r="G56" s="82"/>
      <c r="H56" s="92"/>
    </row>
    <row r="57" spans="2:12" x14ac:dyDescent="0.3">
      <c r="B57" s="78" t="s">
        <v>193</v>
      </c>
      <c r="C57" s="79">
        <f>+SUM(C59:C63)</f>
        <v>16</v>
      </c>
      <c r="D57" s="79" t="s">
        <v>194</v>
      </c>
      <c r="E57" s="79" t="s">
        <v>195</v>
      </c>
      <c r="F57" s="80"/>
      <c r="G57" s="80"/>
      <c r="H57" s="91"/>
    </row>
    <row r="58" spans="2:12" ht="26.4" x14ac:dyDescent="0.3">
      <c r="B58" s="83" t="s">
        <v>98</v>
      </c>
      <c r="C58" s="84" t="s">
        <v>205</v>
      </c>
      <c r="D58" s="84" t="s">
        <v>99</v>
      </c>
      <c r="E58" s="84" t="s">
        <v>100</v>
      </c>
      <c r="F58" s="84" t="s">
        <v>126</v>
      </c>
      <c r="G58" s="84" t="s">
        <v>127</v>
      </c>
      <c r="H58" s="84" t="s">
        <v>36</v>
      </c>
      <c r="I58" s="28" t="s">
        <v>212</v>
      </c>
      <c r="J58" s="28" t="s">
        <v>216</v>
      </c>
      <c r="K58" s="28" t="s">
        <v>217</v>
      </c>
      <c r="L58" s="28" t="s">
        <v>213</v>
      </c>
    </row>
    <row r="59" spans="2:12" x14ac:dyDescent="0.3">
      <c r="B59" s="87" t="s">
        <v>196</v>
      </c>
      <c r="C59" s="88">
        <v>3</v>
      </c>
      <c r="D59" s="88" t="s">
        <v>194</v>
      </c>
      <c r="E59" s="88" t="s">
        <v>194</v>
      </c>
      <c r="F59" s="88">
        <v>57</v>
      </c>
      <c r="G59" s="88" t="s">
        <v>129</v>
      </c>
      <c r="H59" s="88" t="s">
        <v>231</v>
      </c>
      <c r="I59" s="20">
        <f>+C59*($Q$11+$Q$12)</f>
        <v>84.375</v>
      </c>
      <c r="J59" s="18">
        <f t="shared" ref="J59" si="18">3*C59*$Q$6</f>
        <v>1.40625</v>
      </c>
      <c r="K59" s="93">
        <f t="shared" ref="K59:K63" si="19">3*C59*$P$4</f>
        <v>2.6029687500000001</v>
      </c>
      <c r="L59" s="20">
        <f>+SUM(I59:K59)</f>
        <v>88.384218750000002</v>
      </c>
    </row>
    <row r="60" spans="2:12" x14ac:dyDescent="0.3">
      <c r="B60" s="87" t="s">
        <v>197</v>
      </c>
      <c r="C60" s="88">
        <v>5</v>
      </c>
      <c r="D60" s="88" t="s">
        <v>198</v>
      </c>
      <c r="E60" s="88" t="s">
        <v>198</v>
      </c>
      <c r="F60" s="88">
        <v>59</v>
      </c>
      <c r="G60" s="88" t="s">
        <v>131</v>
      </c>
      <c r="H60" s="9" t="s">
        <v>41</v>
      </c>
      <c r="I60" s="20">
        <f>+C60*($Q$12+$Q$16+$Q$21)</f>
        <v>187.5</v>
      </c>
      <c r="J60" s="18">
        <f t="shared" ref="J60:J61" si="20">3*C60*($Q$6+$Q$7+$Q$8)</f>
        <v>9.4205729166666661</v>
      </c>
      <c r="K60" s="93">
        <f t="shared" si="19"/>
        <v>4.3382812500000005</v>
      </c>
      <c r="L60" s="20">
        <f t="shared" ref="L60:L63" si="21">+SUM(I60:K60)</f>
        <v>201.25885416666665</v>
      </c>
    </row>
    <row r="61" spans="2:12" x14ac:dyDescent="0.3">
      <c r="B61" s="87" t="s">
        <v>199</v>
      </c>
      <c r="C61" s="88">
        <v>3</v>
      </c>
      <c r="D61" s="88" t="s">
        <v>200</v>
      </c>
      <c r="E61" s="88" t="s">
        <v>200</v>
      </c>
      <c r="F61" s="88">
        <v>60</v>
      </c>
      <c r="G61" s="88" t="s">
        <v>131</v>
      </c>
      <c r="H61" s="9" t="s">
        <v>41</v>
      </c>
      <c r="I61" s="20">
        <f>+C61*($Q$12+$Q$16+$Q$21)</f>
        <v>112.5</v>
      </c>
      <c r="J61" s="18">
        <f t="shared" si="20"/>
        <v>5.65234375</v>
      </c>
      <c r="K61" s="93">
        <f t="shared" si="19"/>
        <v>2.6029687500000001</v>
      </c>
      <c r="L61" s="20">
        <f t="shared" si="21"/>
        <v>120.7553125</v>
      </c>
    </row>
    <row r="62" spans="2:12" x14ac:dyDescent="0.3">
      <c r="B62" s="87" t="s">
        <v>201</v>
      </c>
      <c r="C62" s="88">
        <v>3</v>
      </c>
      <c r="D62" s="88" t="s">
        <v>202</v>
      </c>
      <c r="E62" s="88" t="s">
        <v>202</v>
      </c>
      <c r="F62" s="88">
        <v>61</v>
      </c>
      <c r="G62" s="88" t="s">
        <v>89</v>
      </c>
      <c r="H62" s="9" t="s">
        <v>41</v>
      </c>
      <c r="I62" s="20">
        <f>+C62*($Q$21)</f>
        <v>37.5</v>
      </c>
      <c r="J62" s="18">
        <f>3*C62*$Q$8</f>
        <v>1.7265624999999998</v>
      </c>
      <c r="K62" s="93">
        <f t="shared" si="19"/>
        <v>2.6029687500000001</v>
      </c>
      <c r="L62" s="20">
        <f t="shared" si="21"/>
        <v>41.829531250000002</v>
      </c>
    </row>
    <row r="63" spans="2:12" x14ac:dyDescent="0.3">
      <c r="B63" s="87" t="s">
        <v>203</v>
      </c>
      <c r="C63" s="88">
        <v>2</v>
      </c>
      <c r="D63" s="88" t="s">
        <v>204</v>
      </c>
      <c r="E63" s="88" t="s">
        <v>204</v>
      </c>
      <c r="F63" s="88">
        <v>62</v>
      </c>
      <c r="G63" s="88" t="s">
        <v>131</v>
      </c>
      <c r="H63" s="88" t="s">
        <v>231</v>
      </c>
      <c r="I63" s="20">
        <f>+C63*($Q$11+$Q$12+$Q$16+$Q$21)</f>
        <v>106.25</v>
      </c>
      <c r="J63" s="18">
        <f t="shared" ref="J63" si="22">3*C63*($Q$6+$Q$7+$Q$8)</f>
        <v>3.7682291666666665</v>
      </c>
      <c r="K63" s="93">
        <f t="shared" si="19"/>
        <v>1.7353125</v>
      </c>
      <c r="L63" s="20">
        <f t="shared" si="21"/>
        <v>111.75354166666668</v>
      </c>
    </row>
    <row r="65" spans="2:12" x14ac:dyDescent="0.3">
      <c r="C65">
        <f>+C3+C22+C42+C50+C57</f>
        <v>114</v>
      </c>
    </row>
    <row r="67" spans="2:12" ht="14.4" customHeight="1" x14ac:dyDescent="0.3">
      <c r="B67" s="114" t="s">
        <v>233</v>
      </c>
      <c r="C67" s="114"/>
      <c r="D67" s="114"/>
      <c r="E67" s="114"/>
      <c r="F67" s="114"/>
      <c r="G67" s="114"/>
      <c r="H67" s="114"/>
      <c r="I67" s="114"/>
      <c r="J67" s="97">
        <f>+SUM(L6:L20,L25:L40,L45:L48,L53:L55,L59:L63)</f>
        <v>3045.5391145833323</v>
      </c>
      <c r="K67" s="97"/>
      <c r="L67" s="97"/>
    </row>
    <row r="68" spans="2:12" ht="14.4" customHeight="1" x14ac:dyDescent="0.3">
      <c r="B68" s="114"/>
      <c r="C68" s="114"/>
      <c r="D68" s="114"/>
      <c r="E68" s="114"/>
      <c r="F68" s="114"/>
      <c r="G68" s="114"/>
      <c r="H68" s="114"/>
      <c r="I68" s="114"/>
      <c r="J68" s="97"/>
      <c r="K68" s="97"/>
      <c r="L68" s="97"/>
    </row>
  </sheetData>
  <mergeCells count="5">
    <mergeCell ref="O6:O8"/>
    <mergeCell ref="O11:O13"/>
    <mergeCell ref="O16:O17"/>
    <mergeCell ref="O21:O22"/>
    <mergeCell ref="B67:I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Detalles - RH</vt:lpstr>
      <vt:lpstr>Detalles - Equipos</vt:lpstr>
      <vt:lpstr>Detalles - Servicios</vt:lpstr>
      <vt:lpstr>Planificacion_HORAS</vt:lpstr>
      <vt:lpstr>CU (2)</vt:lpstr>
      <vt:lpstr>Proyección</vt:lpstr>
      <vt:lpstr>Estimacion_Propuesta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LEIDY LISBETH SARAGURO CHAVEZ</cp:lastModifiedBy>
  <cp:lastPrinted>2026-01-13T17:24:01Z</cp:lastPrinted>
  <dcterms:created xsi:type="dcterms:W3CDTF">2025-12-17T04:34:04Z</dcterms:created>
  <dcterms:modified xsi:type="dcterms:W3CDTF">2026-01-21T04:39:35Z</dcterms:modified>
</cp:coreProperties>
</file>